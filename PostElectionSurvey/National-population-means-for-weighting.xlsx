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375" windowWidth="21795" windowHeight="9000"/>
  </bookViews>
  <sheets>
    <sheet name="Means" sheetId="1" r:id="rId1"/>
    <sheet name="Age" sheetId="2" r:id="rId2"/>
    <sheet name="Vote shares" sheetId="3" r:id="rId3"/>
  </sheets>
  <calcPr calcId="145621"/>
</workbook>
</file>

<file path=xl/calcChain.xml><?xml version="1.0" encoding="utf-8"?>
<calcChain xmlns="http://schemas.openxmlformats.org/spreadsheetml/2006/main">
  <c r="B12" i="1" l="1"/>
  <c r="B11" i="1"/>
  <c r="D13" i="3" l="1"/>
  <c r="D12" i="3"/>
  <c r="D11" i="3"/>
  <c r="D6" i="3"/>
  <c r="D7" i="3"/>
  <c r="D8" i="3"/>
  <c r="C8" i="3"/>
  <c r="C5" i="3"/>
  <c r="B10" i="1" l="1"/>
  <c r="B3" i="1" l="1"/>
  <c r="B6" i="1" l="1"/>
  <c r="B5" i="1"/>
  <c r="B4" i="1"/>
  <c r="G25" i="2"/>
  <c r="H25" i="2"/>
  <c r="N4" i="2" s="1"/>
  <c r="I25" i="2"/>
  <c r="J25" i="2"/>
  <c r="K4" i="2" s="1"/>
  <c r="B7" i="1" s="1"/>
  <c r="G26" i="2"/>
  <c r="H26" i="2"/>
  <c r="I26" i="2"/>
  <c r="O4" i="2" s="1"/>
  <c r="J26" i="2"/>
  <c r="G27" i="2"/>
  <c r="H27" i="2"/>
  <c r="I27" i="2"/>
  <c r="J27" i="2"/>
  <c r="G28" i="2"/>
  <c r="H28" i="2"/>
  <c r="I28" i="2"/>
  <c r="J28" i="2"/>
  <c r="G29" i="2"/>
  <c r="H29" i="2"/>
  <c r="I29" i="2"/>
  <c r="J29" i="2"/>
  <c r="G30" i="2"/>
  <c r="H30" i="2"/>
  <c r="I30" i="2"/>
  <c r="J30" i="2"/>
  <c r="G31" i="2"/>
  <c r="H31" i="2"/>
  <c r="I31" i="2"/>
  <c r="J31" i="2"/>
  <c r="G32" i="2"/>
  <c r="H32" i="2"/>
  <c r="I32" i="2"/>
  <c r="J32" i="2"/>
  <c r="G33" i="2"/>
  <c r="H33" i="2"/>
  <c r="I33" i="2"/>
  <c r="J33" i="2"/>
  <c r="G34" i="2"/>
  <c r="H34" i="2"/>
  <c r="I34" i="2"/>
  <c r="J34" i="2"/>
  <c r="G35" i="2"/>
  <c r="H35" i="2"/>
  <c r="I35" i="2"/>
  <c r="J35" i="2"/>
  <c r="G36" i="2"/>
  <c r="H36" i="2"/>
  <c r="I36" i="2"/>
  <c r="J36" i="2"/>
  <c r="G37" i="2"/>
  <c r="H37" i="2"/>
  <c r="I37" i="2"/>
  <c r="J37" i="2"/>
  <c r="K6" i="2" s="1"/>
  <c r="G38" i="2"/>
  <c r="H38" i="2"/>
  <c r="I38" i="2"/>
  <c r="J38" i="2"/>
  <c r="G39" i="2"/>
  <c r="H39" i="2"/>
  <c r="I39" i="2"/>
  <c r="J39" i="2"/>
  <c r="G40" i="2"/>
  <c r="H40" i="2"/>
  <c r="I40" i="2"/>
  <c r="J40" i="2"/>
  <c r="G41" i="2"/>
  <c r="H41" i="2"/>
  <c r="I41" i="2"/>
  <c r="J41" i="2"/>
  <c r="G42" i="2"/>
  <c r="H42" i="2"/>
  <c r="I42" i="2"/>
  <c r="J42" i="2"/>
  <c r="G43" i="2"/>
  <c r="H43" i="2"/>
  <c r="I43" i="2"/>
  <c r="J43" i="2"/>
  <c r="G44" i="2"/>
  <c r="H44" i="2"/>
  <c r="I44" i="2"/>
  <c r="J44" i="2"/>
  <c r="G45" i="2"/>
  <c r="H45" i="2"/>
  <c r="I45" i="2"/>
  <c r="J45" i="2"/>
  <c r="G46" i="2"/>
  <c r="H46" i="2"/>
  <c r="I46" i="2"/>
  <c r="J46" i="2"/>
  <c r="G47" i="2"/>
  <c r="H47" i="2"/>
  <c r="I47" i="2"/>
  <c r="J47" i="2"/>
  <c r="G48" i="2"/>
  <c r="H48" i="2"/>
  <c r="I48" i="2"/>
  <c r="J48" i="2"/>
  <c r="G49" i="2"/>
  <c r="H49" i="2"/>
  <c r="I49" i="2"/>
  <c r="J49" i="2"/>
  <c r="G50" i="2"/>
  <c r="H50" i="2"/>
  <c r="I50" i="2"/>
  <c r="J50" i="2"/>
  <c r="G51" i="2"/>
  <c r="H51" i="2"/>
  <c r="I51" i="2"/>
  <c r="J51" i="2"/>
  <c r="G52" i="2"/>
  <c r="H52" i="2"/>
  <c r="I52" i="2"/>
  <c r="J52" i="2"/>
  <c r="K7" i="2" s="1"/>
  <c r="G53" i="2"/>
  <c r="H53" i="2"/>
  <c r="I53" i="2"/>
  <c r="J53" i="2"/>
  <c r="G54" i="2"/>
  <c r="H54" i="2"/>
  <c r="I54" i="2"/>
  <c r="J54" i="2"/>
  <c r="G55" i="2"/>
  <c r="H55" i="2"/>
  <c r="I55" i="2"/>
  <c r="J55" i="2"/>
  <c r="G56" i="2"/>
  <c r="H56" i="2"/>
  <c r="I56" i="2"/>
  <c r="J56" i="2"/>
  <c r="G57" i="2"/>
  <c r="H57" i="2"/>
  <c r="I57" i="2"/>
  <c r="J57" i="2"/>
  <c r="G58" i="2"/>
  <c r="H58" i="2"/>
  <c r="I58" i="2"/>
  <c r="J58" i="2"/>
  <c r="G59" i="2"/>
  <c r="H59" i="2"/>
  <c r="I59" i="2"/>
  <c r="J59" i="2"/>
  <c r="G60" i="2"/>
  <c r="H60" i="2"/>
  <c r="I60" i="2"/>
  <c r="J60" i="2"/>
  <c r="G61" i="2"/>
  <c r="H61" i="2"/>
  <c r="I61" i="2"/>
  <c r="J61" i="2"/>
  <c r="G62" i="2"/>
  <c r="H62" i="2"/>
  <c r="I62" i="2"/>
  <c r="J62" i="2"/>
  <c r="G63" i="2"/>
  <c r="H63" i="2"/>
  <c r="I63" i="2"/>
  <c r="J63" i="2"/>
  <c r="G64" i="2"/>
  <c r="H64" i="2"/>
  <c r="I64" i="2"/>
  <c r="J64" i="2"/>
  <c r="G65" i="2"/>
  <c r="H65" i="2"/>
  <c r="I65" i="2"/>
  <c r="J65" i="2"/>
  <c r="G66" i="2"/>
  <c r="H66" i="2"/>
  <c r="I66" i="2"/>
  <c r="J66" i="2"/>
  <c r="G67" i="2"/>
  <c r="H67" i="2"/>
  <c r="I67" i="2"/>
  <c r="J67" i="2"/>
  <c r="K8" i="2" s="1"/>
  <c r="G68" i="2"/>
  <c r="H68" i="2"/>
  <c r="I68" i="2"/>
  <c r="J68" i="2"/>
  <c r="G69" i="2"/>
  <c r="H69" i="2"/>
  <c r="I69" i="2"/>
  <c r="J69" i="2"/>
  <c r="G70" i="2"/>
  <c r="H70" i="2"/>
  <c r="I70" i="2"/>
  <c r="J70" i="2"/>
  <c r="G71" i="2"/>
  <c r="H71" i="2"/>
  <c r="I71" i="2"/>
  <c r="J71" i="2"/>
  <c r="G72" i="2"/>
  <c r="H72" i="2"/>
  <c r="I72" i="2"/>
  <c r="J72" i="2"/>
  <c r="G73" i="2"/>
  <c r="H73" i="2"/>
  <c r="I73" i="2"/>
  <c r="J73" i="2"/>
  <c r="G74" i="2"/>
  <c r="H74" i="2"/>
  <c r="I74" i="2"/>
  <c r="J74" i="2"/>
  <c r="G75" i="2"/>
  <c r="H75" i="2"/>
  <c r="I75" i="2"/>
  <c r="J75" i="2"/>
  <c r="G76" i="2"/>
  <c r="H76" i="2"/>
  <c r="I76" i="2"/>
  <c r="J76" i="2"/>
  <c r="G77" i="2"/>
  <c r="H77" i="2"/>
  <c r="I77" i="2"/>
  <c r="J77" i="2"/>
  <c r="G78" i="2"/>
  <c r="H78" i="2"/>
  <c r="I78" i="2"/>
  <c r="J78" i="2"/>
  <c r="G79" i="2"/>
  <c r="H79" i="2"/>
  <c r="I79" i="2"/>
  <c r="J79" i="2"/>
  <c r="G80" i="2"/>
  <c r="H80" i="2"/>
  <c r="I80" i="2"/>
  <c r="J80" i="2"/>
  <c r="G81" i="2"/>
  <c r="H81" i="2"/>
  <c r="I81" i="2"/>
  <c r="J81" i="2"/>
  <c r="G82" i="2"/>
  <c r="H82" i="2"/>
  <c r="I82" i="2"/>
  <c r="J82" i="2"/>
  <c r="G83" i="2"/>
  <c r="H83" i="2"/>
  <c r="I83" i="2"/>
  <c r="J83" i="2"/>
  <c r="G84" i="2"/>
  <c r="H84" i="2"/>
  <c r="I84" i="2"/>
  <c r="J84" i="2"/>
  <c r="G85" i="2"/>
  <c r="H85" i="2"/>
  <c r="I85" i="2"/>
  <c r="J85" i="2"/>
  <c r="G86" i="2"/>
  <c r="H86" i="2"/>
  <c r="I86" i="2"/>
  <c r="J86" i="2"/>
  <c r="G87" i="2"/>
  <c r="H87" i="2"/>
  <c r="I87" i="2"/>
  <c r="J87" i="2"/>
  <c r="G88" i="2"/>
  <c r="H88" i="2"/>
  <c r="I88" i="2"/>
  <c r="J88" i="2"/>
  <c r="G89" i="2"/>
  <c r="H89" i="2"/>
  <c r="I89" i="2"/>
  <c r="J89" i="2"/>
  <c r="G90" i="2"/>
  <c r="H90" i="2"/>
  <c r="I90" i="2"/>
  <c r="J90" i="2"/>
  <c r="G91" i="2"/>
  <c r="H91" i="2"/>
  <c r="I91" i="2"/>
  <c r="J91" i="2"/>
  <c r="G92" i="2"/>
  <c r="H92" i="2"/>
  <c r="I92" i="2"/>
  <c r="J92" i="2"/>
  <c r="G93" i="2"/>
  <c r="H93" i="2"/>
  <c r="I93" i="2"/>
  <c r="J93" i="2"/>
  <c r="G94" i="2"/>
  <c r="H94" i="2"/>
  <c r="I94" i="2"/>
  <c r="J94" i="2"/>
  <c r="G95" i="2"/>
  <c r="H95" i="2"/>
  <c r="I95" i="2"/>
  <c r="J95" i="2"/>
  <c r="G96" i="2"/>
  <c r="H96" i="2"/>
  <c r="I96" i="2"/>
  <c r="J96" i="2"/>
  <c r="G97" i="2"/>
  <c r="H97" i="2"/>
  <c r="I97" i="2"/>
  <c r="J97" i="2"/>
  <c r="G98" i="2"/>
  <c r="H98" i="2"/>
  <c r="I98" i="2"/>
  <c r="J98" i="2"/>
  <c r="G99" i="2"/>
  <c r="H99" i="2"/>
  <c r="I99" i="2"/>
  <c r="J99" i="2"/>
  <c r="G100" i="2"/>
  <c r="H100" i="2"/>
  <c r="I100" i="2"/>
  <c r="J100" i="2"/>
  <c r="G101" i="2"/>
  <c r="H101" i="2"/>
  <c r="I101" i="2"/>
  <c r="J101" i="2"/>
  <c r="G102" i="2"/>
  <c r="H102" i="2"/>
  <c r="I102" i="2"/>
  <c r="J102" i="2"/>
  <c r="G103" i="2"/>
  <c r="H103" i="2"/>
  <c r="I103" i="2"/>
  <c r="J103" i="2"/>
  <c r="G104" i="2"/>
  <c r="H104" i="2"/>
  <c r="I104" i="2"/>
  <c r="J104" i="2"/>
  <c r="G105" i="2"/>
  <c r="H105" i="2"/>
  <c r="I105" i="2"/>
  <c r="J105" i="2"/>
  <c r="G106" i="2"/>
  <c r="H106" i="2"/>
  <c r="I106" i="2"/>
  <c r="J106" i="2"/>
  <c r="G107" i="2"/>
  <c r="H107" i="2"/>
  <c r="I107" i="2"/>
  <c r="J107" i="2"/>
  <c r="B2" i="1"/>
  <c r="P4" i="2" l="1"/>
  <c r="B9" i="1" s="1"/>
  <c r="K5" i="2"/>
</calcChain>
</file>

<file path=xl/sharedStrings.xml><?xml version="1.0" encoding="utf-8"?>
<sst xmlns="http://schemas.openxmlformats.org/spreadsheetml/2006/main" count="479" uniqueCount="460">
  <si>
    <t>http://factfinder.census.gov/faces/tableservices/jsf/pages/productview.xhtml?pid=ACS_14_5YR_S1501&amp;prodType=table</t>
  </si>
  <si>
    <t>Educ_BachelorsOrMore</t>
  </si>
  <si>
    <t>Variable</t>
  </si>
  <si>
    <t>Mean</t>
  </si>
  <si>
    <t>Source</t>
  </si>
  <si>
    <t>Notes</t>
  </si>
  <si>
    <t>Weighted average of 18-24 years and 25+ years from 2014 ACS 5-year estimates</t>
  </si>
  <si>
    <t>Educ_HSOrLess</t>
  </si>
  <si>
    <t>Democrat</t>
  </si>
  <si>
    <t>Republican</t>
  </si>
  <si>
    <t>Age</t>
  </si>
  <si>
    <t>Race_White</t>
  </si>
  <si>
    <t>Male</t>
  </si>
  <si>
    <t>Income</t>
  </si>
  <si>
    <t>PEPSYASEXN-Geography-United States: Annual Estimates of the Resident Population by Single Year of Age and Sex for the United States: April 1, 2010 to July 1, 2015</t>
  </si>
  <si>
    <t>2015 Population Estimates</t>
  </si>
  <si>
    <t>2015</t>
  </si>
  <si>
    <t>Both Sexes</t>
  </si>
  <si>
    <t>Female</t>
  </si>
  <si>
    <t>Total</t>
  </si>
  <si>
    <t>321,418,820</t>
  </si>
  <si>
    <t>158,229,297</t>
  </si>
  <si>
    <t>163,189,523</t>
  </si>
  <si>
    <t xml:space="preserve">  0</t>
  </si>
  <si>
    <t>3,978,038</t>
  </si>
  <si>
    <t>2,035,134</t>
  </si>
  <si>
    <t>1,942,904</t>
  </si>
  <si>
    <t xml:space="preserve">  1</t>
  </si>
  <si>
    <t>3,968,564</t>
  </si>
  <si>
    <t>2,029,295</t>
  </si>
  <si>
    <t>1,939,269</t>
  </si>
  <si>
    <t xml:space="preserve">  2</t>
  </si>
  <si>
    <t>3,966,583</t>
  </si>
  <si>
    <t>2,026,604</t>
  </si>
  <si>
    <t>1,939,979</t>
  </si>
  <si>
    <t xml:space="preserve">  3</t>
  </si>
  <si>
    <t>3,974,061</t>
  </si>
  <si>
    <t>2,030,644</t>
  </si>
  <si>
    <t>1,943,417</t>
  </si>
  <si>
    <t xml:space="preserve">  4</t>
  </si>
  <si>
    <t>4,020,035</t>
  </si>
  <si>
    <t>2,055,924</t>
  </si>
  <si>
    <t>1,964,111</t>
  </si>
  <si>
    <t xml:space="preserve">  5</t>
  </si>
  <si>
    <t>4,018,158</t>
  </si>
  <si>
    <t>2,050,848</t>
  </si>
  <si>
    <t>1,967,310</t>
  </si>
  <si>
    <t xml:space="preserve">  6</t>
  </si>
  <si>
    <t>4,019,207</t>
  </si>
  <si>
    <t>2,050,663</t>
  </si>
  <si>
    <t>1,968,544</t>
  </si>
  <si>
    <t xml:space="preserve">  7</t>
  </si>
  <si>
    <t>4,148,360</t>
  </si>
  <si>
    <t>2,117,118</t>
  </si>
  <si>
    <t>2,031,242</t>
  </si>
  <si>
    <t xml:space="preserve">  8</t>
  </si>
  <si>
    <t>4,167,887</t>
  </si>
  <si>
    <t>2,128,825</t>
  </si>
  <si>
    <t>2,039,062</t>
  </si>
  <si>
    <t xml:space="preserve">  9</t>
  </si>
  <si>
    <t>4,133,564</t>
  </si>
  <si>
    <t>2,111,678</t>
  </si>
  <si>
    <t>2,021,886</t>
  </si>
  <si>
    <t xml:space="preserve">  10</t>
  </si>
  <si>
    <t>4,121,289</t>
  </si>
  <si>
    <t>2,103,943</t>
  </si>
  <si>
    <t>2,017,346</t>
  </si>
  <si>
    <t xml:space="preserve">  11</t>
  </si>
  <si>
    <t>4,130,328</t>
  </si>
  <si>
    <t>2,106,742</t>
  </si>
  <si>
    <t>2,023,586</t>
  </si>
  <si>
    <t xml:space="preserve">  12</t>
  </si>
  <si>
    <t>4,101,021</t>
  </si>
  <si>
    <t>2,090,780</t>
  </si>
  <si>
    <t>2,010,241</t>
  </si>
  <si>
    <t xml:space="preserve">  13</t>
  </si>
  <si>
    <t>4,084,306</t>
  </si>
  <si>
    <t>2,082,704</t>
  </si>
  <si>
    <t>2,001,602</t>
  </si>
  <si>
    <t xml:space="preserve">  14</t>
  </si>
  <si>
    <t>4,185,386</t>
  </si>
  <si>
    <t>2,136,219</t>
  </si>
  <si>
    <t>2,049,167</t>
  </si>
  <si>
    <t xml:space="preserve">  15</t>
  </si>
  <si>
    <t>4,249,742</t>
  </si>
  <si>
    <t>2,172,989</t>
  </si>
  <si>
    <t>2,076,753</t>
  </si>
  <si>
    <t xml:space="preserve">  16</t>
  </si>
  <si>
    <t>4,184,296</t>
  </si>
  <si>
    <t>2,139,271</t>
  </si>
  <si>
    <t>2,045,025</t>
  </si>
  <si>
    <t xml:space="preserve">  17</t>
  </si>
  <si>
    <t>4,194,286</t>
  </si>
  <si>
    <t>2,145,174</t>
  </si>
  <si>
    <t>2,049,112</t>
  </si>
  <si>
    <t xml:space="preserve">  18</t>
  </si>
  <si>
    <t>4,217,995</t>
  </si>
  <si>
    <t>2,156,041</t>
  </si>
  <si>
    <t>2,061,954</t>
  </si>
  <si>
    <t xml:space="preserve">  19</t>
  </si>
  <si>
    <t>4,262,584</t>
  </si>
  <si>
    <t>2,184,392</t>
  </si>
  <si>
    <t>2,078,192</t>
  </si>
  <si>
    <t xml:space="preserve">  20</t>
  </si>
  <si>
    <t>4,363,440</t>
  </si>
  <si>
    <t>2,240,373</t>
  </si>
  <si>
    <t>2,123,067</t>
  </si>
  <si>
    <t xml:space="preserve">  21</t>
  </si>
  <si>
    <t>4,456,790</t>
  </si>
  <si>
    <t>2,290,006</t>
  </si>
  <si>
    <t>2,166,784</t>
  </si>
  <si>
    <t xml:space="preserve">  22</t>
  </si>
  <si>
    <t>4,529,472</t>
  </si>
  <si>
    <t>2,331,696</t>
  </si>
  <si>
    <t>2,197,776</t>
  </si>
  <si>
    <t xml:space="preserve">  23</t>
  </si>
  <si>
    <t>4,652,266</t>
  </si>
  <si>
    <t>2,387,842</t>
  </si>
  <si>
    <t>2,264,424</t>
  </si>
  <si>
    <t xml:space="preserve">  24</t>
  </si>
  <si>
    <t>4,737,345</t>
  </si>
  <si>
    <t>2,417,937</t>
  </si>
  <si>
    <t>2,319,408</t>
  </si>
  <si>
    <t xml:space="preserve">  25</t>
  </si>
  <si>
    <t>4,729,564</t>
  </si>
  <si>
    <t>2,407,515</t>
  </si>
  <si>
    <t>2,322,049</t>
  </si>
  <si>
    <t xml:space="preserve">  26</t>
  </si>
  <si>
    <t>4,544,416</t>
  </si>
  <si>
    <t>2,310,983</t>
  </si>
  <si>
    <t>2,233,433</t>
  </si>
  <si>
    <t xml:space="preserve">  27</t>
  </si>
  <si>
    <t>4,439,766</t>
  </si>
  <si>
    <t>2,254,603</t>
  </si>
  <si>
    <t>2,185,163</t>
  </si>
  <si>
    <t xml:space="preserve">  28</t>
  </si>
  <si>
    <t>4,364,669</t>
  </si>
  <si>
    <t>2,214,738</t>
  </si>
  <si>
    <t>2,149,931</t>
  </si>
  <si>
    <t xml:space="preserve">  29</t>
  </si>
  <si>
    <t>4,383,139</t>
  </si>
  <si>
    <t>2,221,560</t>
  </si>
  <si>
    <t>2,161,579</t>
  </si>
  <si>
    <t xml:space="preserve">  30</t>
  </si>
  <si>
    <t>4,417,209</t>
  </si>
  <si>
    <t>2,231,463</t>
  </si>
  <si>
    <t>2,185,746</t>
  </si>
  <si>
    <t xml:space="preserve">  31</t>
  </si>
  <si>
    <t>4,278,233</t>
  </si>
  <si>
    <t>2,152,765</t>
  </si>
  <si>
    <t>2,125,468</t>
  </si>
  <si>
    <t xml:space="preserve">  32</t>
  </si>
  <si>
    <t>4,343,614</t>
  </si>
  <si>
    <t>2,181,163</t>
  </si>
  <si>
    <t>2,162,451</t>
  </si>
  <si>
    <t xml:space="preserve">  33</t>
  </si>
  <si>
    <t>4,341,754</t>
  </si>
  <si>
    <t>2,175,631</t>
  </si>
  <si>
    <t>2,166,123</t>
  </si>
  <si>
    <t xml:space="preserve">  34</t>
  </si>
  <si>
    <t>4,294,838</t>
  </si>
  <si>
    <t>2,148,717</t>
  </si>
  <si>
    <t>2,146,121</t>
  </si>
  <si>
    <t xml:space="preserve">  35</t>
  </si>
  <si>
    <t>4,379,404</t>
  </si>
  <si>
    <t>2,199,270</t>
  </si>
  <si>
    <t>2,180,134</t>
  </si>
  <si>
    <t xml:space="preserve">  36</t>
  </si>
  <si>
    <t>4,108,775</t>
  </si>
  <si>
    <t>2,053,297</t>
  </si>
  <si>
    <t>2,055,478</t>
  </si>
  <si>
    <t xml:space="preserve">  37</t>
  </si>
  <si>
    <t>4,028,403</t>
  </si>
  <si>
    <t>2,010,463</t>
  </si>
  <si>
    <t>2,017,940</t>
  </si>
  <si>
    <t xml:space="preserve">  38</t>
  </si>
  <si>
    <t>3,987,141</t>
  </si>
  <si>
    <t>1,983,816</t>
  </si>
  <si>
    <t>2,003,325</t>
  </si>
  <si>
    <t xml:space="preserve">  39</t>
  </si>
  <si>
    <t>3,870,862</t>
  </si>
  <si>
    <t>1,926,578</t>
  </si>
  <si>
    <t>1,944,284</t>
  </si>
  <si>
    <t xml:space="preserve">  40</t>
  </si>
  <si>
    <t>3,989,839</t>
  </si>
  <si>
    <t>1,989,213</t>
  </si>
  <si>
    <t>2,000,626</t>
  </si>
  <si>
    <t xml:space="preserve">  41</t>
  </si>
  <si>
    <t>3,865,228</t>
  </si>
  <si>
    <t>1,919,064</t>
  </si>
  <si>
    <t>1,946,164</t>
  </si>
  <si>
    <t xml:space="preserve">  42</t>
  </si>
  <si>
    <t>3,924,258</t>
  </si>
  <si>
    <t>1,942,311</t>
  </si>
  <si>
    <t>1,981,947</t>
  </si>
  <si>
    <t xml:space="preserve">  43</t>
  </si>
  <si>
    <t>4,100,708</t>
  </si>
  <si>
    <t>2,032,362</t>
  </si>
  <si>
    <t>2,068,346</t>
  </si>
  <si>
    <t xml:space="preserve">  44</t>
  </si>
  <si>
    <t>4,335,165</t>
  </si>
  <si>
    <t>2,147,203</t>
  </si>
  <si>
    <t>2,187,962</t>
  </si>
  <si>
    <t xml:space="preserve">  45</t>
  </si>
  <si>
    <t>4,389,345</t>
  </si>
  <si>
    <t>2,182,484</t>
  </si>
  <si>
    <t>2,206,861</t>
  </si>
  <si>
    <t xml:space="preserve">  46</t>
  </si>
  <si>
    <t>4,160,573</t>
  </si>
  <si>
    <t>2,064,898</t>
  </si>
  <si>
    <t>2,095,675</t>
  </si>
  <si>
    <t xml:space="preserve">  47</t>
  </si>
  <si>
    <t>4,073,685</t>
  </si>
  <si>
    <t>2,019,602</t>
  </si>
  <si>
    <t>2,054,083</t>
  </si>
  <si>
    <t xml:space="preserve">  48</t>
  </si>
  <si>
    <t>4,077,689</t>
  </si>
  <si>
    <t>2,015,073</t>
  </si>
  <si>
    <t>2,062,616</t>
  </si>
  <si>
    <t xml:space="preserve">  49</t>
  </si>
  <si>
    <t>4,152,552</t>
  </si>
  <si>
    <t>2,052,872</t>
  </si>
  <si>
    <t>2,099,680</t>
  </si>
  <si>
    <t xml:space="preserve">  50</t>
  </si>
  <si>
    <t>4,400,288</t>
  </si>
  <si>
    <t>2,173,002</t>
  </si>
  <si>
    <t>2,227,286</t>
  </si>
  <si>
    <t xml:space="preserve">  51</t>
  </si>
  <si>
    <t>4,479,664</t>
  </si>
  <si>
    <t>2,202,725</t>
  </si>
  <si>
    <t>2,276,939</t>
  </si>
  <si>
    <t xml:space="preserve">  52</t>
  </si>
  <si>
    <t>4,474,344</t>
  </si>
  <si>
    <t>2,195,088</t>
  </si>
  <si>
    <t>2,279,256</t>
  </si>
  <si>
    <t xml:space="preserve">  53</t>
  </si>
  <si>
    <t>4,463,494</t>
  </si>
  <si>
    <t>2,186,448</t>
  </si>
  <si>
    <t>2,277,046</t>
  </si>
  <si>
    <t xml:space="preserve">  54</t>
  </si>
  <si>
    <t>4,516,527</t>
  </si>
  <si>
    <t>2,206,584</t>
  </si>
  <si>
    <t>2,309,943</t>
  </si>
  <si>
    <t xml:space="preserve">  55</t>
  </si>
  <si>
    <t>4,553,385</t>
  </si>
  <si>
    <t>2,228,498</t>
  </si>
  <si>
    <t>2,324,887</t>
  </si>
  <si>
    <t xml:space="preserve">  56</t>
  </si>
  <si>
    <t>4,399,120</t>
  </si>
  <si>
    <t>2,143,285</t>
  </si>
  <si>
    <t>2,255,835</t>
  </si>
  <si>
    <t xml:space="preserve">  57</t>
  </si>
  <si>
    <t>4,371,245</t>
  </si>
  <si>
    <t>2,124,551</t>
  </si>
  <si>
    <t>2,246,694</t>
  </si>
  <si>
    <t xml:space="preserve">  58</t>
  </si>
  <si>
    <t>4,320,522</t>
  </si>
  <si>
    <t>2,092,228</t>
  </si>
  <si>
    <t>2,228,294</t>
  </si>
  <si>
    <t xml:space="preserve">  59</t>
  </si>
  <si>
    <t>4,163,670</t>
  </si>
  <si>
    <t>2,009,005</t>
  </si>
  <si>
    <t>2,154,665</t>
  </si>
  <si>
    <t xml:space="preserve">  60</t>
  </si>
  <si>
    <t>4,125,792</t>
  </si>
  <si>
    <t>1,987,008</t>
  </si>
  <si>
    <t>2,138,784</t>
  </si>
  <si>
    <t xml:space="preserve">  61</t>
  </si>
  <si>
    <t>3,954,601</t>
  </si>
  <si>
    <t>1,893,657</t>
  </si>
  <si>
    <t>2,060,944</t>
  </si>
  <si>
    <t xml:space="preserve">  62</t>
  </si>
  <si>
    <t>3,801,935</t>
  </si>
  <si>
    <t>1,815,914</t>
  </si>
  <si>
    <t>1,986,021</t>
  </si>
  <si>
    <t xml:space="preserve">  63</t>
  </si>
  <si>
    <t>3,651,393</t>
  </si>
  <si>
    <t>1,741,514</t>
  </si>
  <si>
    <t>1,909,879</t>
  </si>
  <si>
    <t xml:space="preserve">  64</t>
  </si>
  <si>
    <t>3,536,156</t>
  </si>
  <si>
    <t>1,679,087</t>
  </si>
  <si>
    <t>1,857,069</t>
  </si>
  <si>
    <t xml:space="preserve">  65</t>
  </si>
  <si>
    <t>3,450,043</t>
  </si>
  <si>
    <t>1,637,936</t>
  </si>
  <si>
    <t>1,812,107</t>
  </si>
  <si>
    <t xml:space="preserve">  66</t>
  </si>
  <si>
    <t>3,344,134</t>
  </si>
  <si>
    <t>1,583,339</t>
  </si>
  <si>
    <t>1,760,795</t>
  </si>
  <si>
    <t xml:space="preserve">  67</t>
  </si>
  <si>
    <t>3,304,187</t>
  </si>
  <si>
    <t>1,562,960</t>
  </si>
  <si>
    <t>1,741,227</t>
  </si>
  <si>
    <t xml:space="preserve">  68</t>
  </si>
  <si>
    <t>3,436,357</t>
  </si>
  <si>
    <t>1,623,929</t>
  </si>
  <si>
    <t>1,812,428</t>
  </si>
  <si>
    <t xml:space="preserve">  69</t>
  </si>
  <si>
    <t>2,532,747</t>
  </si>
  <si>
    <t>1,188,026</t>
  </si>
  <si>
    <t>1,344,721</t>
  </si>
  <si>
    <t xml:space="preserve">  70</t>
  </si>
  <si>
    <t>2,492,490</t>
  </si>
  <si>
    <t>1,162,672</t>
  </si>
  <si>
    <t>1,329,818</t>
  </si>
  <si>
    <t xml:space="preserve">  71</t>
  </si>
  <si>
    <t>2,421,191</t>
  </si>
  <si>
    <t>1,123,102</t>
  </si>
  <si>
    <t>1,298,089</t>
  </si>
  <si>
    <t xml:space="preserve">  72</t>
  </si>
  <si>
    <t>2,469,605</t>
  </si>
  <si>
    <t>1,140,651</t>
  </si>
  <si>
    <t>1,328,954</t>
  </si>
  <si>
    <t xml:space="preserve">  73</t>
  </si>
  <si>
    <t>2,146,052</t>
  </si>
  <si>
    <t>983,641</t>
  </si>
  <si>
    <t>1,162,411</t>
  </si>
  <si>
    <t xml:space="preserve">  74</t>
  </si>
  <si>
    <t>1,953,711</t>
  </si>
  <si>
    <t>886,092</t>
  </si>
  <si>
    <t>1,067,619</t>
  </si>
  <si>
    <t xml:space="preserve">  75</t>
  </si>
  <si>
    <t>1,839,823</t>
  </si>
  <si>
    <t>829,659</t>
  </si>
  <si>
    <t>1,010,164</t>
  </si>
  <si>
    <t xml:space="preserve">  76</t>
  </si>
  <si>
    <t>1,722,041</t>
  </si>
  <si>
    <t>774,758</t>
  </si>
  <si>
    <t>947,283</t>
  </si>
  <si>
    <t xml:space="preserve">  77</t>
  </si>
  <si>
    <t>1,639,085</t>
  </si>
  <si>
    <t>728,549</t>
  </si>
  <si>
    <t>910,536</t>
  </si>
  <si>
    <t xml:space="preserve">  78</t>
  </si>
  <si>
    <t>1,500,813</t>
  </si>
  <si>
    <t>659,853</t>
  </si>
  <si>
    <t>840,960</t>
  </si>
  <si>
    <t xml:space="preserve">  79</t>
  </si>
  <si>
    <t>1,422,071</t>
  </si>
  <si>
    <t>618,087</t>
  </si>
  <si>
    <t>803,984</t>
  </si>
  <si>
    <t xml:space="preserve">  80</t>
  </si>
  <si>
    <t>1,351,196</t>
  </si>
  <si>
    <t>578,240</t>
  </si>
  <si>
    <t>772,956</t>
  </si>
  <si>
    <t xml:space="preserve">  81</t>
  </si>
  <si>
    <t>1,201,044</t>
  </si>
  <si>
    <t>507,988</t>
  </si>
  <si>
    <t>693,056</t>
  </si>
  <si>
    <t xml:space="preserve">  82</t>
  </si>
  <si>
    <t>1,148,948</t>
  </si>
  <si>
    <t>477,629</t>
  </si>
  <si>
    <t>671,319</t>
  </si>
  <si>
    <t xml:space="preserve">  83</t>
  </si>
  <si>
    <t>1,082,562</t>
  </si>
  <si>
    <t>442,175</t>
  </si>
  <si>
    <t>640,387</t>
  </si>
  <si>
    <t xml:space="preserve">  84</t>
  </si>
  <si>
    <t>1,015,591</t>
  </si>
  <si>
    <t>406,633</t>
  </si>
  <si>
    <t>608,958</t>
  </si>
  <si>
    <t xml:space="preserve">  85</t>
  </si>
  <si>
    <t>957,023</t>
  </si>
  <si>
    <t>374,382</t>
  </si>
  <si>
    <t>582,641</t>
  </si>
  <si>
    <t xml:space="preserve">  86</t>
  </si>
  <si>
    <t>846,081</t>
  </si>
  <si>
    <t>323,518</t>
  </si>
  <si>
    <t>522,563</t>
  </si>
  <si>
    <t xml:space="preserve">  87</t>
  </si>
  <si>
    <t>774,639</t>
  </si>
  <si>
    <t>287,383</t>
  </si>
  <si>
    <t>487,256</t>
  </si>
  <si>
    <t xml:space="preserve">  88</t>
  </si>
  <si>
    <t>689,755</t>
  </si>
  <si>
    <t>248,876</t>
  </si>
  <si>
    <t>440,879</t>
  </si>
  <si>
    <t xml:space="preserve">  89</t>
  </si>
  <si>
    <t>596,847</t>
  </si>
  <si>
    <t>208,085</t>
  </si>
  <si>
    <t>388,762</t>
  </si>
  <si>
    <t xml:space="preserve">  90</t>
  </si>
  <si>
    <t>523,034</t>
  </si>
  <si>
    <t>175,479</t>
  </si>
  <si>
    <t>347,555</t>
  </si>
  <si>
    <t xml:space="preserve">  91</t>
  </si>
  <si>
    <t>440,318</t>
  </si>
  <si>
    <t>142,870</t>
  </si>
  <si>
    <t>297,448</t>
  </si>
  <si>
    <t xml:space="preserve">  92</t>
  </si>
  <si>
    <t>360,659</t>
  </si>
  <si>
    <t>113,834</t>
  </si>
  <si>
    <t>246,825</t>
  </si>
  <si>
    <t xml:space="preserve">  93</t>
  </si>
  <si>
    <t>293,806</t>
  </si>
  <si>
    <t>88,660</t>
  </si>
  <si>
    <t>205,146</t>
  </si>
  <si>
    <t xml:space="preserve">  94</t>
  </si>
  <si>
    <t>233,118</t>
  </si>
  <si>
    <t>68,135</t>
  </si>
  <si>
    <t>164,983</t>
  </si>
  <si>
    <t xml:space="preserve">  95</t>
  </si>
  <si>
    <t>174,011</t>
  </si>
  <si>
    <t>48,015</t>
  </si>
  <si>
    <t>125,996</t>
  </si>
  <si>
    <t xml:space="preserve">  96</t>
  </si>
  <si>
    <t>122,887</t>
  </si>
  <si>
    <t>32,585</t>
  </si>
  <si>
    <t>90,302</t>
  </si>
  <si>
    <t xml:space="preserve">  97</t>
  </si>
  <si>
    <t>92,377</t>
  </si>
  <si>
    <t>23,092</t>
  </si>
  <si>
    <t>69,285</t>
  </si>
  <si>
    <t xml:space="preserve">  98</t>
  </si>
  <si>
    <t>61,991</t>
  </si>
  <si>
    <t>14,719</t>
  </si>
  <si>
    <t>47,272</t>
  </si>
  <si>
    <t xml:space="preserve">  99</t>
  </si>
  <si>
    <t>43,641</t>
  </si>
  <si>
    <t>9,577</t>
  </si>
  <si>
    <t>34,064</t>
  </si>
  <si>
    <t>76,974</t>
  </si>
  <si>
    <t>15,088</t>
  </si>
  <si>
    <t>61,886</t>
  </si>
  <si>
    <t/>
  </si>
  <si>
    <t xml:space="preserve">  Median age (years)</t>
  </si>
  <si>
    <t>37.8</t>
  </si>
  <si>
    <t>36.5</t>
  </si>
  <si>
    <t>39.1</t>
  </si>
  <si>
    <t>http://factfinder.census.gov/faces/tableservices/jsf/pages/productview.xhtml?pid=PEP_2015_PEPSYASEXN&amp;prodType=table</t>
  </si>
  <si>
    <t>Average age of people 18 or older in the US in 2015</t>
  </si>
  <si>
    <t>Overall</t>
  </si>
  <si>
    <t>18-29</t>
  </si>
  <si>
    <t>30-44</t>
  </si>
  <si>
    <t>45-59</t>
  </si>
  <si>
    <t>60+</t>
  </si>
  <si>
    <t>Share male of pople 18 or older in the US in 2015</t>
  </si>
  <si>
    <t>http://factfinder.census.gov/faces/tableservices/jsf/pages/productview.xhtml?pid=ACS_14_5YR_S1901&amp;prodType=table</t>
  </si>
  <si>
    <t>Mean income (this is in 2014 inflation-adjusted dollars), times 1.021 for 2.1% inflation (from http://www.usinflationcalculator.com/)</t>
  </si>
  <si>
    <t>https://www.census.gov/quickfacts/table/PST045215/00#headnote-js-a</t>
  </si>
  <si>
    <t>Note: The estimates are based on the 2010 Census and reflect changes to the April 1, 2010 population due to the Count Question Resolution program. Median age is calculated based on single year of age. For population estimates methodology statements, see http://www.census.gov/popest/methodology/index.html.</t>
  </si>
  <si>
    <t>Suggested Citation:
Annual Estimates of the Resident Population by Single Year of Age and Sex for the United States: April 1, 2010 to July 1, 2015
Source: U.S. Census Bureau, Population Division
Release Date: June 2016</t>
  </si>
  <si>
    <t>http://www.electionstudies.org/studypages/anes_timeseries_2012/anes_timeseries_2012_userguidecodebook.pdf, page 367</t>
  </si>
  <si>
    <t>Weighted results from 2012 ANES, only considering people who were D, R, or I</t>
  </si>
  <si>
    <t>NewsSource_Social</t>
  </si>
  <si>
    <t>NewsSource_Web</t>
  </si>
  <si>
    <t>http://assets.pewresearch.org/wp-content/uploads/sites/13/2016/05/PJ_2016.05.26_social-media-and-news_FINAL-1.pdf, page 17</t>
  </si>
  <si>
    <t>Independent</t>
  </si>
  <si>
    <t>Total eligible voters</t>
  </si>
  <si>
    <t>Trump</t>
  </si>
  <si>
    <t>Clinton</t>
  </si>
  <si>
    <t>https://docs.google.com/spreadsheets/u/1/d/133Eb4qQmOxNvtesw2hdVns073R68EZx4SfCnP4IGQf8/htmlview?sle=true#gid=19</t>
  </si>
  <si>
    <t>Neither</t>
  </si>
  <si>
    <t>Calculations</t>
  </si>
  <si>
    <t>v_N + 2v_C</t>
  </si>
  <si>
    <t>Cutoff value for enf</t>
  </si>
  <si>
    <t>m*/(v_N+2v_C)</t>
  </si>
  <si>
    <t>3 is Often, 0 is Never (numbering changed from original Pew coding)</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</si>
</sst>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indexed="8"/>
      <name val="Calibri"/>
      <family val="2"/>
      <scheme val="minor"/>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7">
    <xf numFmtId="0" fontId="0" fillId="0" borderId="0" xfId="0"/>
    <xf numFmtId="0" fontId="3" fillId="0" borderId="0" xfId="2"/>
    <xf numFmtId="0" fontId="4" fillId="2" borderId="0" xfId="1" applyFont="1" applyFill="1" applyBorder="1" applyAlignment="1">
      <alignment horizontal="left" vertical="top" wrapText="1"/>
    </xf>
    <xf numFmtId="0" fontId="1" fillId="0" borderId="0" xfId="0" applyFont="1" applyBorder="1"/>
    <xf numFmtId="3" fontId="0" fillId="0" borderId="0" xfId="0" applyNumberFormat="1"/>
    <xf numFmtId="0" fontId="4" fillId="2" borderId="0" xfId="1" applyFont="1" applyFill="1" applyBorder="1" applyAlignment="1">
      <alignment horizontal="left" vertical="top" wrapText="1"/>
    </xf>
    <xf numFmtId="0" fontId="4" fillId="2" borderId="0" xfId="1" applyFont="1" applyFill="1" applyBorder="1" applyAlignment="1">
      <alignment horizontal="center"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electionstudies.org/studypages/anes_timeseries_2012/anes_timeseries_2012_userguidecodebook.pdf,%20page%20367" TargetMode="External"/><Relationship Id="rId7" Type="http://schemas.openxmlformats.org/officeDocument/2006/relationships/hyperlink" Target="https://www.census.gov/quickfacts/table/PST045215/00" TargetMode="External"/><Relationship Id="rId2" Type="http://schemas.openxmlformats.org/officeDocument/2006/relationships/hyperlink" Target="http://www.electionstudies.org/studypages/anes_timeseries_2012/anes_timeseries_2012_userguidecodebook.pdf,%20page%20367" TargetMode="External"/><Relationship Id="rId1" Type="http://schemas.openxmlformats.org/officeDocument/2006/relationships/hyperlink" Target="http://factfinder.census.gov/faces/tableservices/jsf/pages/productview.xhtml?pid=ACS_14_5YR_S1901&amp;prodType=table" TargetMode="External"/><Relationship Id="rId6" Type="http://schemas.openxmlformats.org/officeDocument/2006/relationships/hyperlink" Target="http://assets.pewresearch.org/wp-content/uploads/sites/13/2016/05/PJ_2016.05.26_social-media-and-news_FINAL-1.pdf,%20page%2017" TargetMode="External"/><Relationship Id="rId5" Type="http://schemas.openxmlformats.org/officeDocument/2006/relationships/hyperlink" Target="http://assets.pewresearch.org/wp-content/uploads/sites/13/2016/05/PJ_2016.05.26_social-media-and-news_FINAL-1.pdf,%20page%2017" TargetMode="External"/><Relationship Id="rId4" Type="http://schemas.openxmlformats.org/officeDocument/2006/relationships/hyperlink" Target="http://www.electionstudies.org/studypages/anes_timeseries_2012/anes_timeseries_2012_userguidecodebook.pdf,%20page%20367"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ocs.google.com/spreadsheets/u/1/d/133Eb4qQmOxNvtesw2hdVns073R68EZx4SfCnP4IGQf8/htmlview?sle=true" TargetMode="External"/><Relationship Id="rId1" Type="http://schemas.openxmlformats.org/officeDocument/2006/relationships/hyperlink" Target="https://docs.google.com/spreadsheets/u/1/d/133Eb4qQmOxNvtesw2hdVns073R68EZx4SfCnP4IGQf8/htmlview?sle=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workbookViewId="0">
      <selection activeCell="H19" sqref="H19"/>
    </sheetView>
  </sheetViews>
  <sheetFormatPr defaultRowHeight="15" x14ac:dyDescent="0.25"/>
  <cols>
    <col min="1" max="1" width="14.42578125" customWidth="1"/>
  </cols>
  <sheetData>
    <row r="1" spans="1:4" x14ac:dyDescent="0.25">
      <c r="A1" t="s">
        <v>2</v>
      </c>
      <c r="B1" t="s">
        <v>3</v>
      </c>
      <c r="C1" t="s">
        <v>5</v>
      </c>
      <c r="D1" t="s">
        <v>4</v>
      </c>
    </row>
    <row r="2" spans="1:4" x14ac:dyDescent="0.25">
      <c r="A2" t="s">
        <v>1</v>
      </c>
      <c r="B2">
        <f>(31273297*0.096+209056129*(0.183+0.11))/(31273297+209056129)</f>
        <v>0.26736502216337005</v>
      </c>
      <c r="C2" t="s">
        <v>6</v>
      </c>
      <c r="D2" t="s">
        <v>0</v>
      </c>
    </row>
    <row r="3" spans="1:4" x14ac:dyDescent="0.25">
      <c r="A3" t="s">
        <v>7</v>
      </c>
      <c r="B3">
        <f>(31273297*(0.295+0.15)+209056129*(0.058+0.078+0.28))/(31273297+209056129)</f>
        <v>0.41977367694041762</v>
      </c>
      <c r="C3" t="s">
        <v>6</v>
      </c>
      <c r="D3" t="s">
        <v>0</v>
      </c>
    </row>
    <row r="4" spans="1:4" x14ac:dyDescent="0.25">
      <c r="A4" t="s">
        <v>8</v>
      </c>
      <c r="B4">
        <f>0.346/(0.346+0.271+0.322)</f>
        <v>0.36847710330138439</v>
      </c>
      <c r="C4" t="s">
        <v>445</v>
      </c>
      <c r="D4" s="1" t="s">
        <v>444</v>
      </c>
    </row>
    <row r="5" spans="1:4" x14ac:dyDescent="0.25">
      <c r="A5" t="s">
        <v>449</v>
      </c>
      <c r="B5">
        <f>0.322/(0.346+0.271+0.322)</f>
        <v>0.34291799787007454</v>
      </c>
      <c r="C5" t="s">
        <v>445</v>
      </c>
      <c r="D5" s="1" t="s">
        <v>444</v>
      </c>
    </row>
    <row r="6" spans="1:4" x14ac:dyDescent="0.25">
      <c r="A6" t="s">
        <v>9</v>
      </c>
      <c r="B6">
        <f>0.271/(0.346+0.271+0.322)</f>
        <v>0.28860489882854101</v>
      </c>
      <c r="C6" t="s">
        <v>445</v>
      </c>
      <c r="D6" s="1" t="s">
        <v>444</v>
      </c>
    </row>
    <row r="7" spans="1:4" x14ac:dyDescent="0.25">
      <c r="A7" t="s">
        <v>10</v>
      </c>
      <c r="B7">
        <f>Age!K4</f>
        <v>47.154951504560152</v>
      </c>
      <c r="C7" t="s">
        <v>432</v>
      </c>
      <c r="D7" t="s">
        <v>431</v>
      </c>
    </row>
    <row r="8" spans="1:4" x14ac:dyDescent="0.25">
      <c r="A8" t="s">
        <v>11</v>
      </c>
      <c r="B8">
        <v>0.61599999999999999</v>
      </c>
      <c r="C8" s="1" t="s">
        <v>441</v>
      </c>
    </row>
    <row r="9" spans="1:4" x14ac:dyDescent="0.25">
      <c r="A9" t="s">
        <v>12</v>
      </c>
      <c r="B9">
        <f>Age!P4</f>
        <v>0.4867939479406187</v>
      </c>
      <c r="C9" t="s">
        <v>438</v>
      </c>
      <c r="D9" t="s">
        <v>431</v>
      </c>
    </row>
    <row r="10" spans="1:4" x14ac:dyDescent="0.25">
      <c r="A10" t="s">
        <v>13</v>
      </c>
      <c r="B10">
        <f>74596*1.021/1000</f>
        <v>76.162515999999982</v>
      </c>
      <c r="C10" t="s">
        <v>440</v>
      </c>
      <c r="D10" s="1" t="s">
        <v>439</v>
      </c>
    </row>
    <row r="11" spans="1:4" x14ac:dyDescent="0.25">
      <c r="A11" t="s">
        <v>446</v>
      </c>
      <c r="B11">
        <f>(0.18*3+0.26*2+0.18*1+0.38*0)</f>
        <v>1.24</v>
      </c>
      <c r="C11" t="s">
        <v>459</v>
      </c>
      <c r="D11" s="1" t="s">
        <v>448</v>
      </c>
    </row>
    <row r="12" spans="1:4" x14ac:dyDescent="0.25">
      <c r="A12" t="s">
        <v>447</v>
      </c>
      <c r="B12">
        <f>(0.28*3+0.28*2+0.18*1+0.26*0)</f>
        <v>1.58</v>
      </c>
      <c r="C12" t="s">
        <v>459</v>
      </c>
      <c r="D12" s="1" t="s">
        <v>448</v>
      </c>
    </row>
  </sheetData>
  <hyperlinks>
    <hyperlink ref="D10" r:id="rId1"/>
    <hyperlink ref="D4" r:id="rId2"/>
    <hyperlink ref="D5" r:id="rId3"/>
    <hyperlink ref="D6" r:id="rId4"/>
    <hyperlink ref="D11" r:id="rId5"/>
    <hyperlink ref="D12" r:id="rId6"/>
    <hyperlink ref="C8" r:id="rId7" location="headnote-js-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3"/>
  <sheetViews>
    <sheetView workbookViewId="0">
      <selection sqref="A1:C1"/>
    </sheetView>
  </sheetViews>
  <sheetFormatPr defaultRowHeight="15" x14ac:dyDescent="0.25"/>
  <cols>
    <col min="1" max="6" width="9.140625" style="3"/>
    <col min="7" max="9" width="9.28515625" style="3" bestFit="1" customWidth="1"/>
    <col min="10" max="10" width="12.5703125" style="3" customWidth="1"/>
    <col min="11" max="11" width="9.28515625" style="3" bestFit="1" customWidth="1"/>
    <col min="12" max="13" width="9.140625" style="3"/>
    <col min="14" max="14" width="10.140625" style="3" bestFit="1" customWidth="1"/>
    <col min="15" max="15" width="10" style="3" bestFit="1" customWidth="1"/>
    <col min="16" max="16" width="9.28515625" style="3" bestFit="1" customWidth="1"/>
    <col min="17" max="16384" width="9.140625" style="3"/>
  </cols>
  <sheetData>
    <row r="1" spans="1:16" x14ac:dyDescent="0.25">
      <c r="A1" s="5" t="s">
        <v>14</v>
      </c>
      <c r="B1" s="5"/>
      <c r="C1" s="5"/>
      <c r="D1" s="2"/>
      <c r="E1" s="2"/>
      <c r="F1" s="2"/>
      <c r="G1" s="2"/>
      <c r="H1" s="2"/>
    </row>
    <row r="2" spans="1:16" x14ac:dyDescent="0.25">
      <c r="A2" s="5" t="s">
        <v>15</v>
      </c>
      <c r="B2" s="5"/>
      <c r="C2" s="5"/>
      <c r="D2" s="2"/>
      <c r="E2" s="2"/>
      <c r="F2" s="2"/>
      <c r="G2" s="2"/>
      <c r="H2" s="2"/>
    </row>
    <row r="3" spans="1:16" ht="15" customHeight="1" x14ac:dyDescent="0.25">
      <c r="A3" s="6" t="s">
        <v>10</v>
      </c>
      <c r="B3" s="6"/>
      <c r="C3" s="6"/>
      <c r="D3" s="5"/>
      <c r="E3" s="5"/>
      <c r="F3" s="5"/>
      <c r="G3" s="2"/>
      <c r="H3" s="2"/>
      <c r="K3" s="2" t="s">
        <v>10</v>
      </c>
      <c r="N3" s="3" t="s">
        <v>12</v>
      </c>
    </row>
    <row r="4" spans="1:16" ht="15" customHeight="1" x14ac:dyDescent="0.25">
      <c r="A4" s="2"/>
      <c r="B4" s="2"/>
      <c r="C4" s="2"/>
      <c r="D4" s="5" t="s">
        <v>16</v>
      </c>
      <c r="E4" s="5"/>
      <c r="F4" s="5"/>
      <c r="G4" s="2"/>
      <c r="H4" s="2"/>
      <c r="K4" s="3">
        <f>SUM(J25:J107)/SUM(G25:G107)</f>
        <v>47.154951504560152</v>
      </c>
      <c r="L4" s="3" t="s">
        <v>433</v>
      </c>
      <c r="N4" s="3">
        <f>SUM(H25:H107)</f>
        <v>120614742</v>
      </c>
      <c r="O4" s="3">
        <f>SUM(I25:I107)</f>
        <v>127158967</v>
      </c>
      <c r="P4" s="3">
        <f>N4/(N4+O4)</f>
        <v>0.4867939479406187</v>
      </c>
    </row>
    <row r="5" spans="1:16" ht="30" x14ac:dyDescent="0.25">
      <c r="A5" s="2"/>
      <c r="B5" s="2"/>
      <c r="C5" s="2"/>
      <c r="D5" s="2" t="s">
        <v>17</v>
      </c>
      <c r="E5" s="2" t="s">
        <v>12</v>
      </c>
      <c r="F5" s="2" t="s">
        <v>18</v>
      </c>
      <c r="G5" s="2"/>
      <c r="H5" s="2"/>
      <c r="K5" s="3">
        <f>SUM(J25:J36)/SUM(G25:G36)</f>
        <v>23.540918383606879</v>
      </c>
      <c r="L5" s="3" t="s">
        <v>434</v>
      </c>
    </row>
    <row r="6" spans="1:16" ht="30" x14ac:dyDescent="0.25">
      <c r="A6" s="5" t="s">
        <v>19</v>
      </c>
      <c r="B6" s="5"/>
      <c r="C6" s="5"/>
      <c r="D6" s="2" t="s">
        <v>20</v>
      </c>
      <c r="E6" s="2" t="s">
        <v>21</v>
      </c>
      <c r="F6" s="2" t="s">
        <v>22</v>
      </c>
      <c r="G6" s="2"/>
      <c r="H6" s="2"/>
      <c r="K6" s="3">
        <f>SUM(J37:J51)/SUM(G37:G51)</f>
        <v>36.876399201348178</v>
      </c>
      <c r="L6" s="3" t="s">
        <v>435</v>
      </c>
    </row>
    <row r="7" spans="1:16" x14ac:dyDescent="0.25">
      <c r="A7" s="5" t="s">
        <v>23</v>
      </c>
      <c r="B7" s="5"/>
      <c r="C7" s="5"/>
      <c r="D7" s="2" t="s">
        <v>24</v>
      </c>
      <c r="E7" s="2" t="s">
        <v>25</v>
      </c>
      <c r="F7" s="2" t="s">
        <v>26</v>
      </c>
      <c r="G7" s="2"/>
      <c r="H7" s="2"/>
      <c r="K7" s="3">
        <f>SUM(J52:J66)/SUM(G52:G66)</f>
        <v>52.054961756707165</v>
      </c>
      <c r="L7" s="3" t="s">
        <v>436</v>
      </c>
    </row>
    <row r="8" spans="1:16" x14ac:dyDescent="0.25">
      <c r="A8" s="5" t="s">
        <v>27</v>
      </c>
      <c r="B8" s="5"/>
      <c r="C8" s="5"/>
      <c r="D8" s="2" t="s">
        <v>28</v>
      </c>
      <c r="E8" s="2" t="s">
        <v>29</v>
      </c>
      <c r="F8" s="2" t="s">
        <v>30</v>
      </c>
      <c r="G8" s="2"/>
      <c r="H8" s="2"/>
      <c r="K8" s="3">
        <f>SUM(J67:J107)/SUM(G67:G107)</f>
        <v>70.933718933396648</v>
      </c>
      <c r="L8" s="3" t="s">
        <v>437</v>
      </c>
    </row>
    <row r="9" spans="1:16" x14ac:dyDescent="0.25">
      <c r="A9" s="5" t="s">
        <v>31</v>
      </c>
      <c r="B9" s="5"/>
      <c r="C9" s="5"/>
      <c r="D9" s="2" t="s">
        <v>32</v>
      </c>
      <c r="E9" s="2" t="s">
        <v>33</v>
      </c>
      <c r="F9" s="2" t="s">
        <v>34</v>
      </c>
      <c r="G9" s="2"/>
      <c r="H9" s="2"/>
    </row>
    <row r="10" spans="1:16" x14ac:dyDescent="0.25">
      <c r="A10" s="5" t="s">
        <v>35</v>
      </c>
      <c r="B10" s="5"/>
      <c r="C10" s="5"/>
      <c r="D10" s="2" t="s">
        <v>36</v>
      </c>
      <c r="E10" s="2" t="s">
        <v>37</v>
      </c>
      <c r="F10" s="2" t="s">
        <v>38</v>
      </c>
      <c r="G10" s="2"/>
      <c r="H10" s="2"/>
    </row>
    <row r="11" spans="1:16" x14ac:dyDescent="0.25">
      <c r="A11" s="5" t="s">
        <v>39</v>
      </c>
      <c r="B11" s="5"/>
      <c r="C11" s="5"/>
      <c r="D11" s="2" t="s">
        <v>40</v>
      </c>
      <c r="E11" s="2" t="s">
        <v>41</v>
      </c>
      <c r="F11" s="2" t="s">
        <v>42</v>
      </c>
      <c r="G11" s="2"/>
      <c r="H11" s="2"/>
    </row>
    <row r="12" spans="1:16" x14ac:dyDescent="0.25">
      <c r="A12" s="5" t="s">
        <v>43</v>
      </c>
      <c r="B12" s="5"/>
      <c r="C12" s="5"/>
      <c r="D12" s="2" t="s">
        <v>44</v>
      </c>
      <c r="E12" s="2" t="s">
        <v>45</v>
      </c>
      <c r="F12" s="2" t="s">
        <v>46</v>
      </c>
      <c r="G12" s="2"/>
      <c r="H12" s="2"/>
    </row>
    <row r="13" spans="1:16" x14ac:dyDescent="0.25">
      <c r="A13" s="5" t="s">
        <v>47</v>
      </c>
      <c r="B13" s="5"/>
      <c r="C13" s="5"/>
      <c r="D13" s="2" t="s">
        <v>48</v>
      </c>
      <c r="E13" s="2" t="s">
        <v>49</v>
      </c>
      <c r="F13" s="2" t="s">
        <v>50</v>
      </c>
      <c r="G13" s="2"/>
      <c r="H13" s="2"/>
    </row>
    <row r="14" spans="1:16" x14ac:dyDescent="0.25">
      <c r="A14" s="5" t="s">
        <v>51</v>
      </c>
      <c r="B14" s="5"/>
      <c r="C14" s="5"/>
      <c r="D14" s="2" t="s">
        <v>52</v>
      </c>
      <c r="E14" s="2" t="s">
        <v>53</v>
      </c>
      <c r="F14" s="2" t="s">
        <v>54</v>
      </c>
      <c r="G14" s="2"/>
      <c r="H14" s="2"/>
    </row>
    <row r="15" spans="1:16" x14ac:dyDescent="0.25">
      <c r="A15" s="5" t="s">
        <v>55</v>
      </c>
      <c r="B15" s="5"/>
      <c r="C15" s="5"/>
      <c r="D15" s="2" t="s">
        <v>56</v>
      </c>
      <c r="E15" s="2" t="s">
        <v>57</v>
      </c>
      <c r="F15" s="2" t="s">
        <v>58</v>
      </c>
      <c r="G15" s="2"/>
      <c r="H15" s="2"/>
    </row>
    <row r="16" spans="1:16" x14ac:dyDescent="0.25">
      <c r="A16" s="5" t="s">
        <v>59</v>
      </c>
      <c r="B16" s="5"/>
      <c r="C16" s="5"/>
      <c r="D16" s="2" t="s">
        <v>60</v>
      </c>
      <c r="E16" s="2" t="s">
        <v>61</v>
      </c>
      <c r="F16" s="2" t="s">
        <v>62</v>
      </c>
      <c r="G16" s="2"/>
      <c r="H16" s="2"/>
    </row>
    <row r="17" spans="1:10" x14ac:dyDescent="0.25">
      <c r="A17" s="5" t="s">
        <v>63</v>
      </c>
      <c r="B17" s="5"/>
      <c r="C17" s="5"/>
      <c r="D17" s="2" t="s">
        <v>64</v>
      </c>
      <c r="E17" s="2" t="s">
        <v>65</v>
      </c>
      <c r="F17" s="2" t="s">
        <v>66</v>
      </c>
      <c r="G17" s="2"/>
      <c r="H17" s="2"/>
    </row>
    <row r="18" spans="1:10" x14ac:dyDescent="0.25">
      <c r="A18" s="5" t="s">
        <v>67</v>
      </c>
      <c r="B18" s="5"/>
      <c r="C18" s="5"/>
      <c r="D18" s="2" t="s">
        <v>68</v>
      </c>
      <c r="E18" s="2" t="s">
        <v>69</v>
      </c>
      <c r="F18" s="2" t="s">
        <v>70</v>
      </c>
      <c r="G18" s="2"/>
      <c r="H18" s="2"/>
    </row>
    <row r="19" spans="1:10" x14ac:dyDescent="0.25">
      <c r="A19" s="5" t="s">
        <v>71</v>
      </c>
      <c r="B19" s="5"/>
      <c r="C19" s="5"/>
      <c r="D19" s="2" t="s">
        <v>72</v>
      </c>
      <c r="E19" s="2" t="s">
        <v>73</v>
      </c>
      <c r="F19" s="2" t="s">
        <v>74</v>
      </c>
      <c r="G19" s="2"/>
      <c r="H19" s="2"/>
    </row>
    <row r="20" spans="1:10" x14ac:dyDescent="0.25">
      <c r="A20" s="5" t="s">
        <v>75</v>
      </c>
      <c r="B20" s="5"/>
      <c r="C20" s="5"/>
      <c r="D20" s="2" t="s">
        <v>76</v>
      </c>
      <c r="E20" s="2" t="s">
        <v>77</v>
      </c>
      <c r="F20" s="2" t="s">
        <v>78</v>
      </c>
      <c r="G20" s="2"/>
      <c r="H20" s="2"/>
    </row>
    <row r="21" spans="1:10" x14ac:dyDescent="0.25">
      <c r="A21" s="5" t="s">
        <v>79</v>
      </c>
      <c r="B21" s="5"/>
      <c r="C21" s="5"/>
      <c r="D21" s="2" t="s">
        <v>80</v>
      </c>
      <c r="E21" s="2" t="s">
        <v>81</v>
      </c>
      <c r="F21" s="2" t="s">
        <v>82</v>
      </c>
      <c r="G21" s="2"/>
      <c r="H21" s="2"/>
    </row>
    <row r="22" spans="1:10" x14ac:dyDescent="0.25">
      <c r="A22" s="5" t="s">
        <v>83</v>
      </c>
      <c r="B22" s="5"/>
      <c r="C22" s="5"/>
      <c r="D22" s="2" t="s">
        <v>84</v>
      </c>
      <c r="E22" s="2" t="s">
        <v>85</v>
      </c>
      <c r="F22" s="2" t="s">
        <v>86</v>
      </c>
      <c r="G22" s="2"/>
      <c r="H22" s="2"/>
    </row>
    <row r="23" spans="1:10" x14ac:dyDescent="0.25">
      <c r="A23" s="5" t="s">
        <v>87</v>
      </c>
      <c r="B23" s="5"/>
      <c r="C23" s="5"/>
      <c r="D23" s="2" t="s">
        <v>88</v>
      </c>
      <c r="E23" s="2" t="s">
        <v>89</v>
      </c>
      <c r="F23" s="2" t="s">
        <v>90</v>
      </c>
      <c r="G23" s="2"/>
      <c r="H23" s="2"/>
    </row>
    <row r="24" spans="1:10" x14ac:dyDescent="0.25">
      <c r="A24" s="5" t="s">
        <v>91</v>
      </c>
      <c r="B24" s="5"/>
      <c r="C24" s="5"/>
      <c r="D24" s="2" t="s">
        <v>92</v>
      </c>
      <c r="E24" s="2" t="s">
        <v>93</v>
      </c>
      <c r="F24" s="2" t="s">
        <v>94</v>
      </c>
      <c r="G24" s="2"/>
      <c r="H24" s="2"/>
    </row>
    <row r="25" spans="1:10" x14ac:dyDescent="0.25">
      <c r="A25" s="5" t="s">
        <v>95</v>
      </c>
      <c r="B25" s="5"/>
      <c r="C25" s="5"/>
      <c r="D25" s="2" t="s">
        <v>96</v>
      </c>
      <c r="E25" s="2" t="s">
        <v>97</v>
      </c>
      <c r="F25" s="2" t="s">
        <v>98</v>
      </c>
      <c r="G25" s="3">
        <f>VALUE(D25)</f>
        <v>4217995</v>
      </c>
      <c r="H25" s="3">
        <f>VALUE(E25)</f>
        <v>2156041</v>
      </c>
      <c r="I25" s="3">
        <f>VALUE(F25)</f>
        <v>2061954</v>
      </c>
      <c r="J25" s="3">
        <f t="shared" ref="J25:J56" si="0">D25*A25</f>
        <v>75923910</v>
      </c>
    </row>
    <row r="26" spans="1:10" x14ac:dyDescent="0.25">
      <c r="A26" s="5" t="s">
        <v>99</v>
      </c>
      <c r="B26" s="5"/>
      <c r="C26" s="5"/>
      <c r="D26" s="2" t="s">
        <v>100</v>
      </c>
      <c r="E26" s="2" t="s">
        <v>101</v>
      </c>
      <c r="F26" s="2" t="s">
        <v>102</v>
      </c>
      <c r="G26" s="3">
        <f t="shared" ref="G26:G57" si="1">VALUE(D26)</f>
        <v>4262584</v>
      </c>
      <c r="H26" s="3">
        <f t="shared" ref="H26:H89" si="2">VALUE(E26)</f>
        <v>2184392</v>
      </c>
      <c r="I26" s="3">
        <f t="shared" ref="I26:I89" si="3">VALUE(F26)</f>
        <v>2078192</v>
      </c>
      <c r="J26" s="3">
        <f t="shared" si="0"/>
        <v>80989096</v>
      </c>
    </row>
    <row r="27" spans="1:10" x14ac:dyDescent="0.25">
      <c r="A27" s="5" t="s">
        <v>103</v>
      </c>
      <c r="B27" s="5"/>
      <c r="C27" s="5"/>
      <c r="D27" s="2" t="s">
        <v>104</v>
      </c>
      <c r="E27" s="2" t="s">
        <v>105</v>
      </c>
      <c r="F27" s="2" t="s">
        <v>106</v>
      </c>
      <c r="G27" s="3">
        <f t="shared" si="1"/>
        <v>4363440</v>
      </c>
      <c r="H27" s="3">
        <f t="shared" si="2"/>
        <v>2240373</v>
      </c>
      <c r="I27" s="3">
        <f t="shared" si="3"/>
        <v>2123067</v>
      </c>
      <c r="J27" s="3">
        <f t="shared" si="0"/>
        <v>87268800</v>
      </c>
    </row>
    <row r="28" spans="1:10" x14ac:dyDescent="0.25">
      <c r="A28" s="5" t="s">
        <v>107</v>
      </c>
      <c r="B28" s="5"/>
      <c r="C28" s="5"/>
      <c r="D28" s="2" t="s">
        <v>108</v>
      </c>
      <c r="E28" s="2" t="s">
        <v>109</v>
      </c>
      <c r="F28" s="2" t="s">
        <v>110</v>
      </c>
      <c r="G28" s="3">
        <f t="shared" si="1"/>
        <v>4456790</v>
      </c>
      <c r="H28" s="3">
        <f t="shared" si="2"/>
        <v>2290006</v>
      </c>
      <c r="I28" s="3">
        <f t="shared" si="3"/>
        <v>2166784</v>
      </c>
      <c r="J28" s="3">
        <f t="shared" si="0"/>
        <v>93592590</v>
      </c>
    </row>
    <row r="29" spans="1:10" x14ac:dyDescent="0.25">
      <c r="A29" s="5" t="s">
        <v>111</v>
      </c>
      <c r="B29" s="5"/>
      <c r="C29" s="5"/>
      <c r="D29" s="2" t="s">
        <v>112</v>
      </c>
      <c r="E29" s="2" t="s">
        <v>113</v>
      </c>
      <c r="F29" s="2" t="s">
        <v>114</v>
      </c>
      <c r="G29" s="3">
        <f t="shared" si="1"/>
        <v>4529472</v>
      </c>
      <c r="H29" s="3">
        <f t="shared" si="2"/>
        <v>2331696</v>
      </c>
      <c r="I29" s="3">
        <f t="shared" si="3"/>
        <v>2197776</v>
      </c>
      <c r="J29" s="3">
        <f t="shared" si="0"/>
        <v>99648384</v>
      </c>
    </row>
    <row r="30" spans="1:10" x14ac:dyDescent="0.25">
      <c r="A30" s="5" t="s">
        <v>115</v>
      </c>
      <c r="B30" s="5"/>
      <c r="C30" s="5"/>
      <c r="D30" s="2" t="s">
        <v>116</v>
      </c>
      <c r="E30" s="2" t="s">
        <v>117</v>
      </c>
      <c r="F30" s="2" t="s">
        <v>118</v>
      </c>
      <c r="G30" s="3">
        <f t="shared" si="1"/>
        <v>4652266</v>
      </c>
      <c r="H30" s="3">
        <f t="shared" si="2"/>
        <v>2387842</v>
      </c>
      <c r="I30" s="3">
        <f t="shared" si="3"/>
        <v>2264424</v>
      </c>
      <c r="J30" s="3">
        <f t="shared" si="0"/>
        <v>107002118</v>
      </c>
    </row>
    <row r="31" spans="1:10" x14ac:dyDescent="0.25">
      <c r="A31" s="5" t="s">
        <v>119</v>
      </c>
      <c r="B31" s="5"/>
      <c r="C31" s="5"/>
      <c r="D31" s="2" t="s">
        <v>120</v>
      </c>
      <c r="E31" s="2" t="s">
        <v>121</v>
      </c>
      <c r="F31" s="2" t="s">
        <v>122</v>
      </c>
      <c r="G31" s="3">
        <f t="shared" si="1"/>
        <v>4737345</v>
      </c>
      <c r="H31" s="3">
        <f t="shared" si="2"/>
        <v>2417937</v>
      </c>
      <c r="I31" s="3">
        <f t="shared" si="3"/>
        <v>2319408</v>
      </c>
      <c r="J31" s="3">
        <f t="shared" si="0"/>
        <v>113696280</v>
      </c>
    </row>
    <row r="32" spans="1:10" x14ac:dyDescent="0.25">
      <c r="A32" s="5" t="s">
        <v>123</v>
      </c>
      <c r="B32" s="5"/>
      <c r="C32" s="5"/>
      <c r="D32" s="2" t="s">
        <v>124</v>
      </c>
      <c r="E32" s="2" t="s">
        <v>125</v>
      </c>
      <c r="F32" s="2" t="s">
        <v>126</v>
      </c>
      <c r="G32" s="3">
        <f t="shared" si="1"/>
        <v>4729564</v>
      </c>
      <c r="H32" s="3">
        <f t="shared" si="2"/>
        <v>2407515</v>
      </c>
      <c r="I32" s="3">
        <f t="shared" si="3"/>
        <v>2322049</v>
      </c>
      <c r="J32" s="3">
        <f t="shared" si="0"/>
        <v>118239100</v>
      </c>
    </row>
    <row r="33" spans="1:10" x14ac:dyDescent="0.25">
      <c r="A33" s="5" t="s">
        <v>127</v>
      </c>
      <c r="B33" s="5"/>
      <c r="C33" s="5"/>
      <c r="D33" s="2" t="s">
        <v>128</v>
      </c>
      <c r="E33" s="2" t="s">
        <v>129</v>
      </c>
      <c r="F33" s="2" t="s">
        <v>130</v>
      </c>
      <c r="G33" s="3">
        <f t="shared" si="1"/>
        <v>4544416</v>
      </c>
      <c r="H33" s="3">
        <f t="shared" si="2"/>
        <v>2310983</v>
      </c>
      <c r="I33" s="3">
        <f t="shared" si="3"/>
        <v>2233433</v>
      </c>
      <c r="J33" s="3">
        <f t="shared" si="0"/>
        <v>118154816</v>
      </c>
    </row>
    <row r="34" spans="1:10" x14ac:dyDescent="0.25">
      <c r="A34" s="5" t="s">
        <v>131</v>
      </c>
      <c r="B34" s="5"/>
      <c r="C34" s="5"/>
      <c r="D34" s="2" t="s">
        <v>132</v>
      </c>
      <c r="E34" s="2" t="s">
        <v>133</v>
      </c>
      <c r="F34" s="2" t="s">
        <v>134</v>
      </c>
      <c r="G34" s="3">
        <f t="shared" si="1"/>
        <v>4439766</v>
      </c>
      <c r="H34" s="3">
        <f t="shared" si="2"/>
        <v>2254603</v>
      </c>
      <c r="I34" s="3">
        <f t="shared" si="3"/>
        <v>2185163</v>
      </c>
      <c r="J34" s="3">
        <f t="shared" si="0"/>
        <v>119873682</v>
      </c>
    </row>
    <row r="35" spans="1:10" x14ac:dyDescent="0.25">
      <c r="A35" s="5" t="s">
        <v>135</v>
      </c>
      <c r="B35" s="5"/>
      <c r="C35" s="5"/>
      <c r="D35" s="2" t="s">
        <v>136</v>
      </c>
      <c r="E35" s="2" t="s">
        <v>137</v>
      </c>
      <c r="F35" s="2" t="s">
        <v>138</v>
      </c>
      <c r="G35" s="3">
        <f t="shared" si="1"/>
        <v>4364669</v>
      </c>
      <c r="H35" s="3">
        <f t="shared" si="2"/>
        <v>2214738</v>
      </c>
      <c r="I35" s="3">
        <f t="shared" si="3"/>
        <v>2149931</v>
      </c>
      <c r="J35" s="3">
        <f t="shared" si="0"/>
        <v>122210732</v>
      </c>
    </row>
    <row r="36" spans="1:10" x14ac:dyDescent="0.25">
      <c r="A36" s="5" t="s">
        <v>139</v>
      </c>
      <c r="B36" s="5"/>
      <c r="C36" s="5"/>
      <c r="D36" s="2" t="s">
        <v>140</v>
      </c>
      <c r="E36" s="2" t="s">
        <v>141</v>
      </c>
      <c r="F36" s="2" t="s">
        <v>142</v>
      </c>
      <c r="G36" s="3">
        <f t="shared" si="1"/>
        <v>4383139</v>
      </c>
      <c r="H36" s="3">
        <f t="shared" si="2"/>
        <v>2221560</v>
      </c>
      <c r="I36" s="3">
        <f t="shared" si="3"/>
        <v>2161579</v>
      </c>
      <c r="J36" s="3">
        <f t="shared" si="0"/>
        <v>127111031</v>
      </c>
    </row>
    <row r="37" spans="1:10" x14ac:dyDescent="0.25">
      <c r="A37" s="5" t="s">
        <v>143</v>
      </c>
      <c r="B37" s="5"/>
      <c r="C37" s="5"/>
      <c r="D37" s="2" t="s">
        <v>144</v>
      </c>
      <c r="E37" s="2" t="s">
        <v>145</v>
      </c>
      <c r="F37" s="2" t="s">
        <v>146</v>
      </c>
      <c r="G37" s="3">
        <f t="shared" si="1"/>
        <v>4417209</v>
      </c>
      <c r="H37" s="3">
        <f t="shared" si="2"/>
        <v>2231463</v>
      </c>
      <c r="I37" s="3">
        <f t="shared" si="3"/>
        <v>2185746</v>
      </c>
      <c r="J37" s="3">
        <f t="shared" si="0"/>
        <v>132516270</v>
      </c>
    </row>
    <row r="38" spans="1:10" x14ac:dyDescent="0.25">
      <c r="A38" s="5" t="s">
        <v>147</v>
      </c>
      <c r="B38" s="5"/>
      <c r="C38" s="5"/>
      <c r="D38" s="2" t="s">
        <v>148</v>
      </c>
      <c r="E38" s="2" t="s">
        <v>149</v>
      </c>
      <c r="F38" s="2" t="s">
        <v>150</v>
      </c>
      <c r="G38" s="3">
        <f t="shared" si="1"/>
        <v>4278233</v>
      </c>
      <c r="H38" s="3">
        <f t="shared" si="2"/>
        <v>2152765</v>
      </c>
      <c r="I38" s="3">
        <f t="shared" si="3"/>
        <v>2125468</v>
      </c>
      <c r="J38" s="3">
        <f t="shared" si="0"/>
        <v>132625223</v>
      </c>
    </row>
    <row r="39" spans="1:10" x14ac:dyDescent="0.25">
      <c r="A39" s="5" t="s">
        <v>151</v>
      </c>
      <c r="B39" s="5"/>
      <c r="C39" s="5"/>
      <c r="D39" s="2" t="s">
        <v>152</v>
      </c>
      <c r="E39" s="2" t="s">
        <v>153</v>
      </c>
      <c r="F39" s="2" t="s">
        <v>154</v>
      </c>
      <c r="G39" s="3">
        <f t="shared" si="1"/>
        <v>4343614</v>
      </c>
      <c r="H39" s="3">
        <f t="shared" si="2"/>
        <v>2181163</v>
      </c>
      <c r="I39" s="3">
        <f t="shared" si="3"/>
        <v>2162451</v>
      </c>
      <c r="J39" s="3">
        <f t="shared" si="0"/>
        <v>138995648</v>
      </c>
    </row>
    <row r="40" spans="1:10" x14ac:dyDescent="0.25">
      <c r="A40" s="5" t="s">
        <v>155</v>
      </c>
      <c r="B40" s="5"/>
      <c r="C40" s="5"/>
      <c r="D40" s="2" t="s">
        <v>156</v>
      </c>
      <c r="E40" s="2" t="s">
        <v>157</v>
      </c>
      <c r="F40" s="2" t="s">
        <v>158</v>
      </c>
      <c r="G40" s="3">
        <f t="shared" si="1"/>
        <v>4341754</v>
      </c>
      <c r="H40" s="3">
        <f t="shared" si="2"/>
        <v>2175631</v>
      </c>
      <c r="I40" s="3">
        <f t="shared" si="3"/>
        <v>2166123</v>
      </c>
      <c r="J40" s="3">
        <f t="shared" si="0"/>
        <v>143277882</v>
      </c>
    </row>
    <row r="41" spans="1:10" x14ac:dyDescent="0.25">
      <c r="A41" s="5" t="s">
        <v>159</v>
      </c>
      <c r="B41" s="5"/>
      <c r="C41" s="5"/>
      <c r="D41" s="2" t="s">
        <v>160</v>
      </c>
      <c r="E41" s="2" t="s">
        <v>161</v>
      </c>
      <c r="F41" s="2" t="s">
        <v>162</v>
      </c>
      <c r="G41" s="3">
        <f t="shared" si="1"/>
        <v>4294838</v>
      </c>
      <c r="H41" s="3">
        <f t="shared" si="2"/>
        <v>2148717</v>
      </c>
      <c r="I41" s="3">
        <f t="shared" si="3"/>
        <v>2146121</v>
      </c>
      <c r="J41" s="3">
        <f t="shared" si="0"/>
        <v>146024492</v>
      </c>
    </row>
    <row r="42" spans="1:10" x14ac:dyDescent="0.25">
      <c r="A42" s="5" t="s">
        <v>163</v>
      </c>
      <c r="B42" s="5"/>
      <c r="C42" s="5"/>
      <c r="D42" s="2" t="s">
        <v>164</v>
      </c>
      <c r="E42" s="2" t="s">
        <v>165</v>
      </c>
      <c r="F42" s="2" t="s">
        <v>166</v>
      </c>
      <c r="G42" s="3">
        <f t="shared" si="1"/>
        <v>4379404</v>
      </c>
      <c r="H42" s="3">
        <f t="shared" si="2"/>
        <v>2199270</v>
      </c>
      <c r="I42" s="3">
        <f t="shared" si="3"/>
        <v>2180134</v>
      </c>
      <c r="J42" s="3">
        <f t="shared" si="0"/>
        <v>153279140</v>
      </c>
    </row>
    <row r="43" spans="1:10" x14ac:dyDescent="0.25">
      <c r="A43" s="5" t="s">
        <v>167</v>
      </c>
      <c r="B43" s="5"/>
      <c r="C43" s="5"/>
      <c r="D43" s="2" t="s">
        <v>168</v>
      </c>
      <c r="E43" s="2" t="s">
        <v>169</v>
      </c>
      <c r="F43" s="2" t="s">
        <v>170</v>
      </c>
      <c r="G43" s="3">
        <f t="shared" si="1"/>
        <v>4108775</v>
      </c>
      <c r="H43" s="3">
        <f t="shared" si="2"/>
        <v>2053297</v>
      </c>
      <c r="I43" s="3">
        <f t="shared" si="3"/>
        <v>2055478</v>
      </c>
      <c r="J43" s="3">
        <f t="shared" si="0"/>
        <v>147915900</v>
      </c>
    </row>
    <row r="44" spans="1:10" x14ac:dyDescent="0.25">
      <c r="A44" s="5" t="s">
        <v>171</v>
      </c>
      <c r="B44" s="5"/>
      <c r="C44" s="5"/>
      <c r="D44" s="2" t="s">
        <v>172</v>
      </c>
      <c r="E44" s="2" t="s">
        <v>173</v>
      </c>
      <c r="F44" s="2" t="s">
        <v>174</v>
      </c>
      <c r="G44" s="3">
        <f t="shared" si="1"/>
        <v>4028403</v>
      </c>
      <c r="H44" s="3">
        <f t="shared" si="2"/>
        <v>2010463</v>
      </c>
      <c r="I44" s="3">
        <f t="shared" si="3"/>
        <v>2017940</v>
      </c>
      <c r="J44" s="3">
        <f t="shared" si="0"/>
        <v>149050911</v>
      </c>
    </row>
    <row r="45" spans="1:10" x14ac:dyDescent="0.25">
      <c r="A45" s="5" t="s">
        <v>175</v>
      </c>
      <c r="B45" s="5"/>
      <c r="C45" s="5"/>
      <c r="D45" s="2" t="s">
        <v>176</v>
      </c>
      <c r="E45" s="2" t="s">
        <v>177</v>
      </c>
      <c r="F45" s="2" t="s">
        <v>178</v>
      </c>
      <c r="G45" s="3">
        <f t="shared" si="1"/>
        <v>3987141</v>
      </c>
      <c r="H45" s="3">
        <f t="shared" si="2"/>
        <v>1983816</v>
      </c>
      <c r="I45" s="3">
        <f t="shared" si="3"/>
        <v>2003325</v>
      </c>
      <c r="J45" s="3">
        <f t="shared" si="0"/>
        <v>151511358</v>
      </c>
    </row>
    <row r="46" spans="1:10" x14ac:dyDescent="0.25">
      <c r="A46" s="5" t="s">
        <v>179</v>
      </c>
      <c r="B46" s="5"/>
      <c r="C46" s="5"/>
      <c r="D46" s="2" t="s">
        <v>180</v>
      </c>
      <c r="E46" s="2" t="s">
        <v>181</v>
      </c>
      <c r="F46" s="2" t="s">
        <v>182</v>
      </c>
      <c r="G46" s="3">
        <f t="shared" si="1"/>
        <v>3870862</v>
      </c>
      <c r="H46" s="3">
        <f t="shared" si="2"/>
        <v>1926578</v>
      </c>
      <c r="I46" s="3">
        <f t="shared" si="3"/>
        <v>1944284</v>
      </c>
      <c r="J46" s="3">
        <f t="shared" si="0"/>
        <v>150963618</v>
      </c>
    </row>
    <row r="47" spans="1:10" x14ac:dyDescent="0.25">
      <c r="A47" s="5" t="s">
        <v>183</v>
      </c>
      <c r="B47" s="5"/>
      <c r="C47" s="5"/>
      <c r="D47" s="2" t="s">
        <v>184</v>
      </c>
      <c r="E47" s="2" t="s">
        <v>185</v>
      </c>
      <c r="F47" s="2" t="s">
        <v>186</v>
      </c>
      <c r="G47" s="3">
        <f t="shared" si="1"/>
        <v>3989839</v>
      </c>
      <c r="H47" s="3">
        <f t="shared" si="2"/>
        <v>1989213</v>
      </c>
      <c r="I47" s="3">
        <f t="shared" si="3"/>
        <v>2000626</v>
      </c>
      <c r="J47" s="3">
        <f t="shared" si="0"/>
        <v>159593560</v>
      </c>
    </row>
    <row r="48" spans="1:10" x14ac:dyDescent="0.25">
      <c r="A48" s="5" t="s">
        <v>187</v>
      </c>
      <c r="B48" s="5"/>
      <c r="C48" s="5"/>
      <c r="D48" s="2" t="s">
        <v>188</v>
      </c>
      <c r="E48" s="2" t="s">
        <v>189</v>
      </c>
      <c r="F48" s="2" t="s">
        <v>190</v>
      </c>
      <c r="G48" s="3">
        <f t="shared" si="1"/>
        <v>3865228</v>
      </c>
      <c r="H48" s="3">
        <f t="shared" si="2"/>
        <v>1919064</v>
      </c>
      <c r="I48" s="3">
        <f t="shared" si="3"/>
        <v>1946164</v>
      </c>
      <c r="J48" s="3">
        <f t="shared" si="0"/>
        <v>158474348</v>
      </c>
    </row>
    <row r="49" spans="1:10" x14ac:dyDescent="0.25">
      <c r="A49" s="5" t="s">
        <v>191</v>
      </c>
      <c r="B49" s="5"/>
      <c r="C49" s="5"/>
      <c r="D49" s="2" t="s">
        <v>192</v>
      </c>
      <c r="E49" s="2" t="s">
        <v>193</v>
      </c>
      <c r="F49" s="2" t="s">
        <v>194</v>
      </c>
      <c r="G49" s="3">
        <f t="shared" si="1"/>
        <v>3924258</v>
      </c>
      <c r="H49" s="3">
        <f t="shared" si="2"/>
        <v>1942311</v>
      </c>
      <c r="I49" s="3">
        <f t="shared" si="3"/>
        <v>1981947</v>
      </c>
      <c r="J49" s="3">
        <f t="shared" si="0"/>
        <v>164818836</v>
      </c>
    </row>
    <row r="50" spans="1:10" x14ac:dyDescent="0.25">
      <c r="A50" s="5" t="s">
        <v>195</v>
      </c>
      <c r="B50" s="5"/>
      <c r="C50" s="5"/>
      <c r="D50" s="2" t="s">
        <v>196</v>
      </c>
      <c r="E50" s="2" t="s">
        <v>197</v>
      </c>
      <c r="F50" s="2" t="s">
        <v>198</v>
      </c>
      <c r="G50" s="3">
        <f t="shared" si="1"/>
        <v>4100708</v>
      </c>
      <c r="H50" s="3">
        <f t="shared" si="2"/>
        <v>2032362</v>
      </c>
      <c r="I50" s="3">
        <f t="shared" si="3"/>
        <v>2068346</v>
      </c>
      <c r="J50" s="3">
        <f t="shared" si="0"/>
        <v>176330444</v>
      </c>
    </row>
    <row r="51" spans="1:10" x14ac:dyDescent="0.25">
      <c r="A51" s="5" t="s">
        <v>199</v>
      </c>
      <c r="B51" s="5"/>
      <c r="C51" s="5"/>
      <c r="D51" s="2" t="s">
        <v>200</v>
      </c>
      <c r="E51" s="2" t="s">
        <v>201</v>
      </c>
      <c r="F51" s="2" t="s">
        <v>202</v>
      </c>
      <c r="G51" s="3">
        <f t="shared" si="1"/>
        <v>4335165</v>
      </c>
      <c r="H51" s="3">
        <f t="shared" si="2"/>
        <v>2147203</v>
      </c>
      <c r="I51" s="3">
        <f t="shared" si="3"/>
        <v>2187962</v>
      </c>
      <c r="J51" s="3">
        <f t="shared" si="0"/>
        <v>190747260</v>
      </c>
    </row>
    <row r="52" spans="1:10" x14ac:dyDescent="0.25">
      <c r="A52" s="5" t="s">
        <v>203</v>
      </c>
      <c r="B52" s="5"/>
      <c r="C52" s="5"/>
      <c r="D52" s="2" t="s">
        <v>204</v>
      </c>
      <c r="E52" s="2" t="s">
        <v>205</v>
      </c>
      <c r="F52" s="2" t="s">
        <v>206</v>
      </c>
      <c r="G52" s="3">
        <f t="shared" si="1"/>
        <v>4389345</v>
      </c>
      <c r="H52" s="3">
        <f t="shared" si="2"/>
        <v>2182484</v>
      </c>
      <c r="I52" s="3">
        <f t="shared" si="3"/>
        <v>2206861</v>
      </c>
      <c r="J52" s="3">
        <f t="shared" si="0"/>
        <v>197520525</v>
      </c>
    </row>
    <row r="53" spans="1:10" x14ac:dyDescent="0.25">
      <c r="A53" s="5" t="s">
        <v>207</v>
      </c>
      <c r="B53" s="5"/>
      <c r="C53" s="5"/>
      <c r="D53" s="2" t="s">
        <v>208</v>
      </c>
      <c r="E53" s="2" t="s">
        <v>209</v>
      </c>
      <c r="F53" s="2" t="s">
        <v>210</v>
      </c>
      <c r="G53" s="3">
        <f t="shared" si="1"/>
        <v>4160573</v>
      </c>
      <c r="H53" s="3">
        <f t="shared" si="2"/>
        <v>2064898</v>
      </c>
      <c r="I53" s="3">
        <f t="shared" si="3"/>
        <v>2095675</v>
      </c>
      <c r="J53" s="3">
        <f t="shared" si="0"/>
        <v>191386358</v>
      </c>
    </row>
    <row r="54" spans="1:10" x14ac:dyDescent="0.25">
      <c r="A54" s="5" t="s">
        <v>211</v>
      </c>
      <c r="B54" s="5"/>
      <c r="C54" s="5"/>
      <c r="D54" s="2" t="s">
        <v>212</v>
      </c>
      <c r="E54" s="2" t="s">
        <v>213</v>
      </c>
      <c r="F54" s="2" t="s">
        <v>214</v>
      </c>
      <c r="G54" s="3">
        <f t="shared" si="1"/>
        <v>4073685</v>
      </c>
      <c r="H54" s="3">
        <f t="shared" si="2"/>
        <v>2019602</v>
      </c>
      <c r="I54" s="3">
        <f t="shared" si="3"/>
        <v>2054083</v>
      </c>
      <c r="J54" s="3">
        <f t="shared" si="0"/>
        <v>191463195</v>
      </c>
    </row>
    <row r="55" spans="1:10" x14ac:dyDescent="0.25">
      <c r="A55" s="5" t="s">
        <v>215</v>
      </c>
      <c r="B55" s="5"/>
      <c r="C55" s="5"/>
      <c r="D55" s="2" t="s">
        <v>216</v>
      </c>
      <c r="E55" s="2" t="s">
        <v>217</v>
      </c>
      <c r="F55" s="2" t="s">
        <v>218</v>
      </c>
      <c r="G55" s="3">
        <f t="shared" si="1"/>
        <v>4077689</v>
      </c>
      <c r="H55" s="3">
        <f t="shared" si="2"/>
        <v>2015073</v>
      </c>
      <c r="I55" s="3">
        <f t="shared" si="3"/>
        <v>2062616</v>
      </c>
      <c r="J55" s="3">
        <f t="shared" si="0"/>
        <v>195729072</v>
      </c>
    </row>
    <row r="56" spans="1:10" x14ac:dyDescent="0.25">
      <c r="A56" s="5" t="s">
        <v>219</v>
      </c>
      <c r="B56" s="5"/>
      <c r="C56" s="5"/>
      <c r="D56" s="2" t="s">
        <v>220</v>
      </c>
      <c r="E56" s="2" t="s">
        <v>221</v>
      </c>
      <c r="F56" s="2" t="s">
        <v>222</v>
      </c>
      <c r="G56" s="3">
        <f t="shared" si="1"/>
        <v>4152552</v>
      </c>
      <c r="H56" s="3">
        <f t="shared" si="2"/>
        <v>2052872</v>
      </c>
      <c r="I56" s="3">
        <f t="shared" si="3"/>
        <v>2099680</v>
      </c>
      <c r="J56" s="3">
        <f t="shared" si="0"/>
        <v>203475048</v>
      </c>
    </row>
    <row r="57" spans="1:10" x14ac:dyDescent="0.25">
      <c r="A57" s="5" t="s">
        <v>223</v>
      </c>
      <c r="B57" s="5"/>
      <c r="C57" s="5"/>
      <c r="D57" s="2" t="s">
        <v>224</v>
      </c>
      <c r="E57" s="2" t="s">
        <v>225</v>
      </c>
      <c r="F57" s="2" t="s">
        <v>226</v>
      </c>
      <c r="G57" s="3">
        <f t="shared" si="1"/>
        <v>4400288</v>
      </c>
      <c r="H57" s="3">
        <f t="shared" si="2"/>
        <v>2173002</v>
      </c>
      <c r="I57" s="3">
        <f t="shared" si="3"/>
        <v>2227286</v>
      </c>
      <c r="J57" s="3">
        <f t="shared" ref="J57:J88" si="4">D57*A57</f>
        <v>220014400</v>
      </c>
    </row>
    <row r="58" spans="1:10" x14ac:dyDescent="0.25">
      <c r="A58" s="5" t="s">
        <v>227</v>
      </c>
      <c r="B58" s="5"/>
      <c r="C58" s="5"/>
      <c r="D58" s="2" t="s">
        <v>228</v>
      </c>
      <c r="E58" s="2" t="s">
        <v>229</v>
      </c>
      <c r="F58" s="2" t="s">
        <v>230</v>
      </c>
      <c r="G58" s="3">
        <f t="shared" ref="G58:G89" si="5">VALUE(D58)</f>
        <v>4479664</v>
      </c>
      <c r="H58" s="3">
        <f t="shared" si="2"/>
        <v>2202725</v>
      </c>
      <c r="I58" s="3">
        <f t="shared" si="3"/>
        <v>2276939</v>
      </c>
      <c r="J58" s="3">
        <f t="shared" si="4"/>
        <v>228462864</v>
      </c>
    </row>
    <row r="59" spans="1:10" x14ac:dyDescent="0.25">
      <c r="A59" s="5" t="s">
        <v>231</v>
      </c>
      <c r="B59" s="5"/>
      <c r="C59" s="5"/>
      <c r="D59" s="2" t="s">
        <v>232</v>
      </c>
      <c r="E59" s="2" t="s">
        <v>233</v>
      </c>
      <c r="F59" s="2" t="s">
        <v>234</v>
      </c>
      <c r="G59" s="3">
        <f t="shared" si="5"/>
        <v>4474344</v>
      </c>
      <c r="H59" s="3">
        <f t="shared" si="2"/>
        <v>2195088</v>
      </c>
      <c r="I59" s="3">
        <f t="shared" si="3"/>
        <v>2279256</v>
      </c>
      <c r="J59" s="3">
        <f t="shared" si="4"/>
        <v>232665888</v>
      </c>
    </row>
    <row r="60" spans="1:10" x14ac:dyDescent="0.25">
      <c r="A60" s="5" t="s">
        <v>235</v>
      </c>
      <c r="B60" s="5"/>
      <c r="C60" s="5"/>
      <c r="D60" s="2" t="s">
        <v>236</v>
      </c>
      <c r="E60" s="2" t="s">
        <v>237</v>
      </c>
      <c r="F60" s="2" t="s">
        <v>238</v>
      </c>
      <c r="G60" s="3">
        <f t="shared" si="5"/>
        <v>4463494</v>
      </c>
      <c r="H60" s="3">
        <f t="shared" si="2"/>
        <v>2186448</v>
      </c>
      <c r="I60" s="3">
        <f t="shared" si="3"/>
        <v>2277046</v>
      </c>
      <c r="J60" s="3">
        <f t="shared" si="4"/>
        <v>236565182</v>
      </c>
    </row>
    <row r="61" spans="1:10" x14ac:dyDescent="0.25">
      <c r="A61" s="5" t="s">
        <v>239</v>
      </c>
      <c r="B61" s="5"/>
      <c r="C61" s="5"/>
      <c r="D61" s="2" t="s">
        <v>240</v>
      </c>
      <c r="E61" s="2" t="s">
        <v>241</v>
      </c>
      <c r="F61" s="2" t="s">
        <v>242</v>
      </c>
      <c r="G61" s="3">
        <f t="shared" si="5"/>
        <v>4516527</v>
      </c>
      <c r="H61" s="3">
        <f t="shared" si="2"/>
        <v>2206584</v>
      </c>
      <c r="I61" s="3">
        <f t="shared" si="3"/>
        <v>2309943</v>
      </c>
      <c r="J61" s="3">
        <f t="shared" si="4"/>
        <v>243892458</v>
      </c>
    </row>
    <row r="62" spans="1:10" x14ac:dyDescent="0.25">
      <c r="A62" s="5" t="s">
        <v>243</v>
      </c>
      <c r="B62" s="5"/>
      <c r="C62" s="5"/>
      <c r="D62" s="2" t="s">
        <v>244</v>
      </c>
      <c r="E62" s="2" t="s">
        <v>245</v>
      </c>
      <c r="F62" s="2" t="s">
        <v>246</v>
      </c>
      <c r="G62" s="3">
        <f t="shared" si="5"/>
        <v>4553385</v>
      </c>
      <c r="H62" s="3">
        <f t="shared" si="2"/>
        <v>2228498</v>
      </c>
      <c r="I62" s="3">
        <f t="shared" si="3"/>
        <v>2324887</v>
      </c>
      <c r="J62" s="3">
        <f t="shared" si="4"/>
        <v>250436175</v>
      </c>
    </row>
    <row r="63" spans="1:10" x14ac:dyDescent="0.25">
      <c r="A63" s="5" t="s">
        <v>247</v>
      </c>
      <c r="B63" s="5"/>
      <c r="C63" s="5"/>
      <c r="D63" s="2" t="s">
        <v>248</v>
      </c>
      <c r="E63" s="2" t="s">
        <v>249</v>
      </c>
      <c r="F63" s="2" t="s">
        <v>250</v>
      </c>
      <c r="G63" s="3">
        <f t="shared" si="5"/>
        <v>4399120</v>
      </c>
      <c r="H63" s="3">
        <f t="shared" si="2"/>
        <v>2143285</v>
      </c>
      <c r="I63" s="3">
        <f t="shared" si="3"/>
        <v>2255835</v>
      </c>
      <c r="J63" s="3">
        <f t="shared" si="4"/>
        <v>246350720</v>
      </c>
    </row>
    <row r="64" spans="1:10" x14ac:dyDescent="0.25">
      <c r="A64" s="5" t="s">
        <v>251</v>
      </c>
      <c r="B64" s="5"/>
      <c r="C64" s="5"/>
      <c r="D64" s="2" t="s">
        <v>252</v>
      </c>
      <c r="E64" s="2" t="s">
        <v>253</v>
      </c>
      <c r="F64" s="2" t="s">
        <v>254</v>
      </c>
      <c r="G64" s="3">
        <f t="shared" si="5"/>
        <v>4371245</v>
      </c>
      <c r="H64" s="3">
        <f t="shared" si="2"/>
        <v>2124551</v>
      </c>
      <c r="I64" s="3">
        <f t="shared" si="3"/>
        <v>2246694</v>
      </c>
      <c r="J64" s="3">
        <f t="shared" si="4"/>
        <v>249160965</v>
      </c>
    </row>
    <row r="65" spans="1:10" x14ac:dyDescent="0.25">
      <c r="A65" s="5" t="s">
        <v>255</v>
      </c>
      <c r="B65" s="5"/>
      <c r="C65" s="5"/>
      <c r="D65" s="2" t="s">
        <v>256</v>
      </c>
      <c r="E65" s="2" t="s">
        <v>257</v>
      </c>
      <c r="F65" s="2" t="s">
        <v>258</v>
      </c>
      <c r="G65" s="3">
        <f t="shared" si="5"/>
        <v>4320522</v>
      </c>
      <c r="H65" s="3">
        <f t="shared" si="2"/>
        <v>2092228</v>
      </c>
      <c r="I65" s="3">
        <f t="shared" si="3"/>
        <v>2228294</v>
      </c>
      <c r="J65" s="3">
        <f t="shared" si="4"/>
        <v>250590276</v>
      </c>
    </row>
    <row r="66" spans="1:10" x14ac:dyDescent="0.25">
      <c r="A66" s="5" t="s">
        <v>259</v>
      </c>
      <c r="B66" s="5"/>
      <c r="C66" s="5"/>
      <c r="D66" s="2" t="s">
        <v>260</v>
      </c>
      <c r="E66" s="2" t="s">
        <v>261</v>
      </c>
      <c r="F66" s="2" t="s">
        <v>262</v>
      </c>
      <c r="G66" s="3">
        <f t="shared" si="5"/>
        <v>4163670</v>
      </c>
      <c r="H66" s="3">
        <f t="shared" si="2"/>
        <v>2009005</v>
      </c>
      <c r="I66" s="3">
        <f t="shared" si="3"/>
        <v>2154665</v>
      </c>
      <c r="J66" s="3">
        <f t="shared" si="4"/>
        <v>245656530</v>
      </c>
    </row>
    <row r="67" spans="1:10" x14ac:dyDescent="0.25">
      <c r="A67" s="5" t="s">
        <v>263</v>
      </c>
      <c r="B67" s="5"/>
      <c r="C67" s="5"/>
      <c r="D67" s="2" t="s">
        <v>264</v>
      </c>
      <c r="E67" s="2" t="s">
        <v>265</v>
      </c>
      <c r="F67" s="2" t="s">
        <v>266</v>
      </c>
      <c r="G67" s="3">
        <f t="shared" si="5"/>
        <v>4125792</v>
      </c>
      <c r="H67" s="3">
        <f t="shared" si="2"/>
        <v>1987008</v>
      </c>
      <c r="I67" s="3">
        <f t="shared" si="3"/>
        <v>2138784</v>
      </c>
      <c r="J67" s="3">
        <f t="shared" si="4"/>
        <v>247547520</v>
      </c>
    </row>
    <row r="68" spans="1:10" x14ac:dyDescent="0.25">
      <c r="A68" s="5" t="s">
        <v>267</v>
      </c>
      <c r="B68" s="5"/>
      <c r="C68" s="5"/>
      <c r="D68" s="2" t="s">
        <v>268</v>
      </c>
      <c r="E68" s="2" t="s">
        <v>269</v>
      </c>
      <c r="F68" s="2" t="s">
        <v>270</v>
      </c>
      <c r="G68" s="3">
        <f t="shared" si="5"/>
        <v>3954601</v>
      </c>
      <c r="H68" s="3">
        <f t="shared" si="2"/>
        <v>1893657</v>
      </c>
      <c r="I68" s="3">
        <f t="shared" si="3"/>
        <v>2060944</v>
      </c>
      <c r="J68" s="3">
        <f t="shared" si="4"/>
        <v>241230661</v>
      </c>
    </row>
    <row r="69" spans="1:10" x14ac:dyDescent="0.25">
      <c r="A69" s="5" t="s">
        <v>271</v>
      </c>
      <c r="B69" s="5"/>
      <c r="C69" s="5"/>
      <c r="D69" s="2" t="s">
        <v>272</v>
      </c>
      <c r="E69" s="2" t="s">
        <v>273</v>
      </c>
      <c r="F69" s="2" t="s">
        <v>274</v>
      </c>
      <c r="G69" s="3">
        <f t="shared" si="5"/>
        <v>3801935</v>
      </c>
      <c r="H69" s="3">
        <f t="shared" si="2"/>
        <v>1815914</v>
      </c>
      <c r="I69" s="3">
        <f t="shared" si="3"/>
        <v>1986021</v>
      </c>
      <c r="J69" s="3">
        <f t="shared" si="4"/>
        <v>235719970</v>
      </c>
    </row>
    <row r="70" spans="1:10" x14ac:dyDescent="0.25">
      <c r="A70" s="5" t="s">
        <v>275</v>
      </c>
      <c r="B70" s="5"/>
      <c r="C70" s="5"/>
      <c r="D70" s="2" t="s">
        <v>276</v>
      </c>
      <c r="E70" s="2" t="s">
        <v>277</v>
      </c>
      <c r="F70" s="2" t="s">
        <v>278</v>
      </c>
      <c r="G70" s="3">
        <f t="shared" si="5"/>
        <v>3651393</v>
      </c>
      <c r="H70" s="3">
        <f t="shared" si="2"/>
        <v>1741514</v>
      </c>
      <c r="I70" s="3">
        <f t="shared" si="3"/>
        <v>1909879</v>
      </c>
      <c r="J70" s="3">
        <f t="shared" si="4"/>
        <v>230037759</v>
      </c>
    </row>
    <row r="71" spans="1:10" x14ac:dyDescent="0.25">
      <c r="A71" s="5" t="s">
        <v>279</v>
      </c>
      <c r="B71" s="5"/>
      <c r="C71" s="5"/>
      <c r="D71" s="2" t="s">
        <v>280</v>
      </c>
      <c r="E71" s="2" t="s">
        <v>281</v>
      </c>
      <c r="F71" s="2" t="s">
        <v>282</v>
      </c>
      <c r="G71" s="3">
        <f t="shared" si="5"/>
        <v>3536156</v>
      </c>
      <c r="H71" s="3">
        <f t="shared" si="2"/>
        <v>1679087</v>
      </c>
      <c r="I71" s="3">
        <f t="shared" si="3"/>
        <v>1857069</v>
      </c>
      <c r="J71" s="3">
        <f t="shared" si="4"/>
        <v>226313984</v>
      </c>
    </row>
    <row r="72" spans="1:10" x14ac:dyDescent="0.25">
      <c r="A72" s="5" t="s">
        <v>283</v>
      </c>
      <c r="B72" s="5"/>
      <c r="C72" s="5"/>
      <c r="D72" s="2" t="s">
        <v>284</v>
      </c>
      <c r="E72" s="2" t="s">
        <v>285</v>
      </c>
      <c r="F72" s="2" t="s">
        <v>286</v>
      </c>
      <c r="G72" s="3">
        <f t="shared" si="5"/>
        <v>3450043</v>
      </c>
      <c r="H72" s="3">
        <f t="shared" si="2"/>
        <v>1637936</v>
      </c>
      <c r="I72" s="3">
        <f t="shared" si="3"/>
        <v>1812107</v>
      </c>
      <c r="J72" s="3">
        <f t="shared" si="4"/>
        <v>224252795</v>
      </c>
    </row>
    <row r="73" spans="1:10" x14ac:dyDescent="0.25">
      <c r="A73" s="5" t="s">
        <v>287</v>
      </c>
      <c r="B73" s="5"/>
      <c r="C73" s="5"/>
      <c r="D73" s="2" t="s">
        <v>288</v>
      </c>
      <c r="E73" s="2" t="s">
        <v>289</v>
      </c>
      <c r="F73" s="2" t="s">
        <v>290</v>
      </c>
      <c r="G73" s="3">
        <f t="shared" si="5"/>
        <v>3344134</v>
      </c>
      <c r="H73" s="3">
        <f t="shared" si="2"/>
        <v>1583339</v>
      </c>
      <c r="I73" s="3">
        <f t="shared" si="3"/>
        <v>1760795</v>
      </c>
      <c r="J73" s="3">
        <f t="shared" si="4"/>
        <v>220712844</v>
      </c>
    </row>
    <row r="74" spans="1:10" x14ac:dyDescent="0.25">
      <c r="A74" s="5" t="s">
        <v>291</v>
      </c>
      <c r="B74" s="5"/>
      <c r="C74" s="5"/>
      <c r="D74" s="2" t="s">
        <v>292</v>
      </c>
      <c r="E74" s="2" t="s">
        <v>293</v>
      </c>
      <c r="F74" s="2" t="s">
        <v>294</v>
      </c>
      <c r="G74" s="3">
        <f t="shared" si="5"/>
        <v>3304187</v>
      </c>
      <c r="H74" s="3">
        <f t="shared" si="2"/>
        <v>1562960</v>
      </c>
      <c r="I74" s="3">
        <f t="shared" si="3"/>
        <v>1741227</v>
      </c>
      <c r="J74" s="3">
        <f t="shared" si="4"/>
        <v>221380529</v>
      </c>
    </row>
    <row r="75" spans="1:10" x14ac:dyDescent="0.25">
      <c r="A75" s="5" t="s">
        <v>295</v>
      </c>
      <c r="B75" s="5"/>
      <c r="C75" s="5"/>
      <c r="D75" s="2" t="s">
        <v>296</v>
      </c>
      <c r="E75" s="2" t="s">
        <v>297</v>
      </c>
      <c r="F75" s="2" t="s">
        <v>298</v>
      </c>
      <c r="G75" s="3">
        <f t="shared" si="5"/>
        <v>3436357</v>
      </c>
      <c r="H75" s="3">
        <f t="shared" si="2"/>
        <v>1623929</v>
      </c>
      <c r="I75" s="3">
        <f t="shared" si="3"/>
        <v>1812428</v>
      </c>
      <c r="J75" s="3">
        <f t="shared" si="4"/>
        <v>233672276</v>
      </c>
    </row>
    <row r="76" spans="1:10" x14ac:dyDescent="0.25">
      <c r="A76" s="5" t="s">
        <v>299</v>
      </c>
      <c r="B76" s="5"/>
      <c r="C76" s="5"/>
      <c r="D76" s="2" t="s">
        <v>300</v>
      </c>
      <c r="E76" s="2" t="s">
        <v>301</v>
      </c>
      <c r="F76" s="2" t="s">
        <v>302</v>
      </c>
      <c r="G76" s="3">
        <f t="shared" si="5"/>
        <v>2532747</v>
      </c>
      <c r="H76" s="3">
        <f t="shared" si="2"/>
        <v>1188026</v>
      </c>
      <c r="I76" s="3">
        <f t="shared" si="3"/>
        <v>1344721</v>
      </c>
      <c r="J76" s="3">
        <f t="shared" si="4"/>
        <v>174759543</v>
      </c>
    </row>
    <row r="77" spans="1:10" x14ac:dyDescent="0.25">
      <c r="A77" s="5" t="s">
        <v>303</v>
      </c>
      <c r="B77" s="5"/>
      <c r="C77" s="5"/>
      <c r="D77" s="2" t="s">
        <v>304</v>
      </c>
      <c r="E77" s="2" t="s">
        <v>305</v>
      </c>
      <c r="F77" s="2" t="s">
        <v>306</v>
      </c>
      <c r="G77" s="3">
        <f t="shared" si="5"/>
        <v>2492490</v>
      </c>
      <c r="H77" s="3">
        <f t="shared" si="2"/>
        <v>1162672</v>
      </c>
      <c r="I77" s="3">
        <f t="shared" si="3"/>
        <v>1329818</v>
      </c>
      <c r="J77" s="3">
        <f t="shared" si="4"/>
        <v>174474300</v>
      </c>
    </row>
    <row r="78" spans="1:10" x14ac:dyDescent="0.25">
      <c r="A78" s="5" t="s">
        <v>307</v>
      </c>
      <c r="B78" s="5"/>
      <c r="C78" s="5"/>
      <c r="D78" s="2" t="s">
        <v>308</v>
      </c>
      <c r="E78" s="2" t="s">
        <v>309</v>
      </c>
      <c r="F78" s="2" t="s">
        <v>310</v>
      </c>
      <c r="G78" s="3">
        <f t="shared" si="5"/>
        <v>2421191</v>
      </c>
      <c r="H78" s="3">
        <f t="shared" si="2"/>
        <v>1123102</v>
      </c>
      <c r="I78" s="3">
        <f t="shared" si="3"/>
        <v>1298089</v>
      </c>
      <c r="J78" s="3">
        <f t="shared" si="4"/>
        <v>171904561</v>
      </c>
    </row>
    <row r="79" spans="1:10" x14ac:dyDescent="0.25">
      <c r="A79" s="5" t="s">
        <v>311</v>
      </c>
      <c r="B79" s="5"/>
      <c r="C79" s="5"/>
      <c r="D79" s="2" t="s">
        <v>312</v>
      </c>
      <c r="E79" s="2" t="s">
        <v>313</v>
      </c>
      <c r="F79" s="2" t="s">
        <v>314</v>
      </c>
      <c r="G79" s="3">
        <f t="shared" si="5"/>
        <v>2469605</v>
      </c>
      <c r="H79" s="3">
        <f t="shared" si="2"/>
        <v>1140651</v>
      </c>
      <c r="I79" s="3">
        <f t="shared" si="3"/>
        <v>1328954</v>
      </c>
      <c r="J79" s="3">
        <f t="shared" si="4"/>
        <v>177811560</v>
      </c>
    </row>
    <row r="80" spans="1:10" x14ac:dyDescent="0.25">
      <c r="A80" s="5" t="s">
        <v>315</v>
      </c>
      <c r="B80" s="5"/>
      <c r="C80" s="5"/>
      <c r="D80" s="2" t="s">
        <v>316</v>
      </c>
      <c r="E80" s="2" t="s">
        <v>317</v>
      </c>
      <c r="F80" s="2" t="s">
        <v>318</v>
      </c>
      <c r="G80" s="3">
        <f t="shared" si="5"/>
        <v>2146052</v>
      </c>
      <c r="H80" s="3">
        <f t="shared" si="2"/>
        <v>983641</v>
      </c>
      <c r="I80" s="3">
        <f t="shared" si="3"/>
        <v>1162411</v>
      </c>
      <c r="J80" s="3">
        <f t="shared" si="4"/>
        <v>156661796</v>
      </c>
    </row>
    <row r="81" spans="1:10" x14ac:dyDescent="0.25">
      <c r="A81" s="5" t="s">
        <v>319</v>
      </c>
      <c r="B81" s="5"/>
      <c r="C81" s="5"/>
      <c r="D81" s="2" t="s">
        <v>320</v>
      </c>
      <c r="E81" s="2" t="s">
        <v>321</v>
      </c>
      <c r="F81" s="2" t="s">
        <v>322</v>
      </c>
      <c r="G81" s="3">
        <f t="shared" si="5"/>
        <v>1953711</v>
      </c>
      <c r="H81" s="3">
        <f t="shared" si="2"/>
        <v>886092</v>
      </c>
      <c r="I81" s="3">
        <f t="shared" si="3"/>
        <v>1067619</v>
      </c>
      <c r="J81" s="3">
        <f t="shared" si="4"/>
        <v>144574614</v>
      </c>
    </row>
    <row r="82" spans="1:10" x14ac:dyDescent="0.25">
      <c r="A82" s="5" t="s">
        <v>323</v>
      </c>
      <c r="B82" s="5"/>
      <c r="C82" s="5"/>
      <c r="D82" s="2" t="s">
        <v>324</v>
      </c>
      <c r="E82" s="2" t="s">
        <v>325</v>
      </c>
      <c r="F82" s="2" t="s">
        <v>326</v>
      </c>
      <c r="G82" s="3">
        <f t="shared" si="5"/>
        <v>1839823</v>
      </c>
      <c r="H82" s="3">
        <f t="shared" si="2"/>
        <v>829659</v>
      </c>
      <c r="I82" s="3">
        <f t="shared" si="3"/>
        <v>1010164</v>
      </c>
      <c r="J82" s="3">
        <f t="shared" si="4"/>
        <v>137986725</v>
      </c>
    </row>
    <row r="83" spans="1:10" x14ac:dyDescent="0.25">
      <c r="A83" s="5" t="s">
        <v>327</v>
      </c>
      <c r="B83" s="5"/>
      <c r="C83" s="5"/>
      <c r="D83" s="2" t="s">
        <v>328</v>
      </c>
      <c r="E83" s="2" t="s">
        <v>329</v>
      </c>
      <c r="F83" s="2" t="s">
        <v>330</v>
      </c>
      <c r="G83" s="3">
        <f t="shared" si="5"/>
        <v>1722041</v>
      </c>
      <c r="H83" s="3">
        <f t="shared" si="2"/>
        <v>774758</v>
      </c>
      <c r="I83" s="3">
        <f t="shared" si="3"/>
        <v>947283</v>
      </c>
      <c r="J83" s="3">
        <f t="shared" si="4"/>
        <v>130875116</v>
      </c>
    </row>
    <row r="84" spans="1:10" x14ac:dyDescent="0.25">
      <c r="A84" s="5" t="s">
        <v>331</v>
      </c>
      <c r="B84" s="5"/>
      <c r="C84" s="5"/>
      <c r="D84" s="2" t="s">
        <v>332</v>
      </c>
      <c r="E84" s="2" t="s">
        <v>333</v>
      </c>
      <c r="F84" s="2" t="s">
        <v>334</v>
      </c>
      <c r="G84" s="3">
        <f t="shared" si="5"/>
        <v>1639085</v>
      </c>
      <c r="H84" s="3">
        <f t="shared" si="2"/>
        <v>728549</v>
      </c>
      <c r="I84" s="3">
        <f t="shared" si="3"/>
        <v>910536</v>
      </c>
      <c r="J84" s="3">
        <f t="shared" si="4"/>
        <v>126209545</v>
      </c>
    </row>
    <row r="85" spans="1:10" x14ac:dyDescent="0.25">
      <c r="A85" s="5" t="s">
        <v>335</v>
      </c>
      <c r="B85" s="5"/>
      <c r="C85" s="5"/>
      <c r="D85" s="2" t="s">
        <v>336</v>
      </c>
      <c r="E85" s="2" t="s">
        <v>337</v>
      </c>
      <c r="F85" s="2" t="s">
        <v>338</v>
      </c>
      <c r="G85" s="3">
        <f t="shared" si="5"/>
        <v>1500813</v>
      </c>
      <c r="H85" s="3">
        <f t="shared" si="2"/>
        <v>659853</v>
      </c>
      <c r="I85" s="3">
        <f t="shared" si="3"/>
        <v>840960</v>
      </c>
      <c r="J85" s="3">
        <f t="shared" si="4"/>
        <v>117063414</v>
      </c>
    </row>
    <row r="86" spans="1:10" x14ac:dyDescent="0.25">
      <c r="A86" s="5" t="s">
        <v>339</v>
      </c>
      <c r="B86" s="5"/>
      <c r="C86" s="5"/>
      <c r="D86" s="2" t="s">
        <v>340</v>
      </c>
      <c r="E86" s="2" t="s">
        <v>341</v>
      </c>
      <c r="F86" s="2" t="s">
        <v>342</v>
      </c>
      <c r="G86" s="3">
        <f t="shared" si="5"/>
        <v>1422071</v>
      </c>
      <c r="H86" s="3">
        <f t="shared" si="2"/>
        <v>618087</v>
      </c>
      <c r="I86" s="3">
        <f t="shared" si="3"/>
        <v>803984</v>
      </c>
      <c r="J86" s="3">
        <f t="shared" si="4"/>
        <v>112343609</v>
      </c>
    </row>
    <row r="87" spans="1:10" x14ac:dyDescent="0.25">
      <c r="A87" s="5" t="s">
        <v>343</v>
      </c>
      <c r="B87" s="5"/>
      <c r="C87" s="5"/>
      <c r="D87" s="2" t="s">
        <v>344</v>
      </c>
      <c r="E87" s="2" t="s">
        <v>345</v>
      </c>
      <c r="F87" s="2" t="s">
        <v>346</v>
      </c>
      <c r="G87" s="3">
        <f t="shared" si="5"/>
        <v>1351196</v>
      </c>
      <c r="H87" s="3">
        <f t="shared" si="2"/>
        <v>578240</v>
      </c>
      <c r="I87" s="3">
        <f t="shared" si="3"/>
        <v>772956</v>
      </c>
      <c r="J87" s="3">
        <f t="shared" si="4"/>
        <v>108095680</v>
      </c>
    </row>
    <row r="88" spans="1:10" x14ac:dyDescent="0.25">
      <c r="A88" s="5" t="s">
        <v>347</v>
      </c>
      <c r="B88" s="5"/>
      <c r="C88" s="5"/>
      <c r="D88" s="2" t="s">
        <v>348</v>
      </c>
      <c r="E88" s="2" t="s">
        <v>349</v>
      </c>
      <c r="F88" s="2" t="s">
        <v>350</v>
      </c>
      <c r="G88" s="3">
        <f t="shared" si="5"/>
        <v>1201044</v>
      </c>
      <c r="H88" s="3">
        <f t="shared" si="2"/>
        <v>507988</v>
      </c>
      <c r="I88" s="3">
        <f t="shared" si="3"/>
        <v>693056</v>
      </c>
      <c r="J88" s="3">
        <f t="shared" si="4"/>
        <v>97284564</v>
      </c>
    </row>
    <row r="89" spans="1:10" x14ac:dyDescent="0.25">
      <c r="A89" s="5" t="s">
        <v>351</v>
      </c>
      <c r="B89" s="5"/>
      <c r="C89" s="5"/>
      <c r="D89" s="2" t="s">
        <v>352</v>
      </c>
      <c r="E89" s="2" t="s">
        <v>353</v>
      </c>
      <c r="F89" s="2" t="s">
        <v>354</v>
      </c>
      <c r="G89" s="3">
        <f t="shared" si="5"/>
        <v>1148948</v>
      </c>
      <c r="H89" s="3">
        <f t="shared" si="2"/>
        <v>477629</v>
      </c>
      <c r="I89" s="3">
        <f t="shared" si="3"/>
        <v>671319</v>
      </c>
      <c r="J89" s="3">
        <f t="shared" ref="J89:J107" si="6">D89*A89</f>
        <v>94213736</v>
      </c>
    </row>
    <row r="90" spans="1:10" x14ac:dyDescent="0.25">
      <c r="A90" s="5" t="s">
        <v>355</v>
      </c>
      <c r="B90" s="5"/>
      <c r="C90" s="5"/>
      <c r="D90" s="2" t="s">
        <v>356</v>
      </c>
      <c r="E90" s="2" t="s">
        <v>357</v>
      </c>
      <c r="F90" s="2" t="s">
        <v>358</v>
      </c>
      <c r="G90" s="3">
        <f t="shared" ref="G90:G107" si="7">VALUE(D90)</f>
        <v>1082562</v>
      </c>
      <c r="H90" s="3">
        <f t="shared" ref="H90:H107" si="8">VALUE(E90)</f>
        <v>442175</v>
      </c>
      <c r="I90" s="3">
        <f t="shared" ref="I90:I107" si="9">VALUE(F90)</f>
        <v>640387</v>
      </c>
      <c r="J90" s="3">
        <f t="shared" si="6"/>
        <v>89852646</v>
      </c>
    </row>
    <row r="91" spans="1:10" x14ac:dyDescent="0.25">
      <c r="A91" s="5" t="s">
        <v>359</v>
      </c>
      <c r="B91" s="5"/>
      <c r="C91" s="5"/>
      <c r="D91" s="2" t="s">
        <v>360</v>
      </c>
      <c r="E91" s="2" t="s">
        <v>361</v>
      </c>
      <c r="F91" s="2" t="s">
        <v>362</v>
      </c>
      <c r="G91" s="3">
        <f t="shared" si="7"/>
        <v>1015591</v>
      </c>
      <c r="H91" s="3">
        <f t="shared" si="8"/>
        <v>406633</v>
      </c>
      <c r="I91" s="3">
        <f t="shared" si="9"/>
        <v>608958</v>
      </c>
      <c r="J91" s="3">
        <f t="shared" si="6"/>
        <v>85309644</v>
      </c>
    </row>
    <row r="92" spans="1:10" x14ac:dyDescent="0.25">
      <c r="A92" s="5" t="s">
        <v>363</v>
      </c>
      <c r="B92" s="5"/>
      <c r="C92" s="5"/>
      <c r="D92" s="2" t="s">
        <v>364</v>
      </c>
      <c r="E92" s="2" t="s">
        <v>365</v>
      </c>
      <c r="F92" s="2" t="s">
        <v>366</v>
      </c>
      <c r="G92" s="3">
        <f t="shared" si="7"/>
        <v>957023</v>
      </c>
      <c r="H92" s="3">
        <f t="shared" si="8"/>
        <v>374382</v>
      </c>
      <c r="I92" s="3">
        <f t="shared" si="9"/>
        <v>582641</v>
      </c>
      <c r="J92" s="3">
        <f t="shared" si="6"/>
        <v>81346955</v>
      </c>
    </row>
    <row r="93" spans="1:10" x14ac:dyDescent="0.25">
      <c r="A93" s="5" t="s">
        <v>367</v>
      </c>
      <c r="B93" s="5"/>
      <c r="C93" s="5"/>
      <c r="D93" s="2" t="s">
        <v>368</v>
      </c>
      <c r="E93" s="2" t="s">
        <v>369</v>
      </c>
      <c r="F93" s="2" t="s">
        <v>370</v>
      </c>
      <c r="G93" s="3">
        <f t="shared" si="7"/>
        <v>846081</v>
      </c>
      <c r="H93" s="3">
        <f t="shared" si="8"/>
        <v>323518</v>
      </c>
      <c r="I93" s="3">
        <f t="shared" si="9"/>
        <v>522563</v>
      </c>
      <c r="J93" s="3">
        <f t="shared" si="6"/>
        <v>72762966</v>
      </c>
    </row>
    <row r="94" spans="1:10" x14ac:dyDescent="0.25">
      <c r="A94" s="5" t="s">
        <v>371</v>
      </c>
      <c r="B94" s="5"/>
      <c r="C94" s="5"/>
      <c r="D94" s="2" t="s">
        <v>372</v>
      </c>
      <c r="E94" s="2" t="s">
        <v>373</v>
      </c>
      <c r="F94" s="2" t="s">
        <v>374</v>
      </c>
      <c r="G94" s="3">
        <f t="shared" si="7"/>
        <v>774639</v>
      </c>
      <c r="H94" s="3">
        <f t="shared" si="8"/>
        <v>287383</v>
      </c>
      <c r="I94" s="3">
        <f t="shared" si="9"/>
        <v>487256</v>
      </c>
      <c r="J94" s="3">
        <f t="shared" si="6"/>
        <v>67393593</v>
      </c>
    </row>
    <row r="95" spans="1:10" x14ac:dyDescent="0.25">
      <c r="A95" s="5" t="s">
        <v>375</v>
      </c>
      <c r="B95" s="5"/>
      <c r="C95" s="5"/>
      <c r="D95" s="2" t="s">
        <v>376</v>
      </c>
      <c r="E95" s="2" t="s">
        <v>377</v>
      </c>
      <c r="F95" s="2" t="s">
        <v>378</v>
      </c>
      <c r="G95" s="3">
        <f t="shared" si="7"/>
        <v>689755</v>
      </c>
      <c r="H95" s="3">
        <f t="shared" si="8"/>
        <v>248876</v>
      </c>
      <c r="I95" s="3">
        <f t="shared" si="9"/>
        <v>440879</v>
      </c>
      <c r="J95" s="3">
        <f t="shared" si="6"/>
        <v>60698440</v>
      </c>
    </row>
    <row r="96" spans="1:10" x14ac:dyDescent="0.25">
      <c r="A96" s="5" t="s">
        <v>379</v>
      </c>
      <c r="B96" s="5"/>
      <c r="C96" s="5"/>
      <c r="D96" s="2" t="s">
        <v>380</v>
      </c>
      <c r="E96" s="2" t="s">
        <v>381</v>
      </c>
      <c r="F96" s="2" t="s">
        <v>382</v>
      </c>
      <c r="G96" s="3">
        <f t="shared" si="7"/>
        <v>596847</v>
      </c>
      <c r="H96" s="3">
        <f t="shared" si="8"/>
        <v>208085</v>
      </c>
      <c r="I96" s="3">
        <f t="shared" si="9"/>
        <v>388762</v>
      </c>
      <c r="J96" s="3">
        <f t="shared" si="6"/>
        <v>53119383</v>
      </c>
    </row>
    <row r="97" spans="1:10" x14ac:dyDescent="0.25">
      <c r="A97" s="5" t="s">
        <v>383</v>
      </c>
      <c r="B97" s="5"/>
      <c r="C97" s="5"/>
      <c r="D97" s="2" t="s">
        <v>384</v>
      </c>
      <c r="E97" s="2" t="s">
        <v>385</v>
      </c>
      <c r="F97" s="2" t="s">
        <v>386</v>
      </c>
      <c r="G97" s="3">
        <f t="shared" si="7"/>
        <v>523034</v>
      </c>
      <c r="H97" s="3">
        <f t="shared" si="8"/>
        <v>175479</v>
      </c>
      <c r="I97" s="3">
        <f t="shared" si="9"/>
        <v>347555</v>
      </c>
      <c r="J97" s="3">
        <f t="shared" si="6"/>
        <v>47073060</v>
      </c>
    </row>
    <row r="98" spans="1:10" x14ac:dyDescent="0.25">
      <c r="A98" s="5" t="s">
        <v>387</v>
      </c>
      <c r="B98" s="5"/>
      <c r="C98" s="5"/>
      <c r="D98" s="2" t="s">
        <v>388</v>
      </c>
      <c r="E98" s="2" t="s">
        <v>389</v>
      </c>
      <c r="F98" s="2" t="s">
        <v>390</v>
      </c>
      <c r="G98" s="3">
        <f t="shared" si="7"/>
        <v>440318</v>
      </c>
      <c r="H98" s="3">
        <f t="shared" si="8"/>
        <v>142870</v>
      </c>
      <c r="I98" s="3">
        <f t="shared" si="9"/>
        <v>297448</v>
      </c>
      <c r="J98" s="3">
        <f t="shared" si="6"/>
        <v>40068938</v>
      </c>
    </row>
    <row r="99" spans="1:10" x14ac:dyDescent="0.25">
      <c r="A99" s="5" t="s">
        <v>391</v>
      </c>
      <c r="B99" s="5"/>
      <c r="C99" s="5"/>
      <c r="D99" s="2" t="s">
        <v>392</v>
      </c>
      <c r="E99" s="2" t="s">
        <v>393</v>
      </c>
      <c r="F99" s="2" t="s">
        <v>394</v>
      </c>
      <c r="G99" s="3">
        <f t="shared" si="7"/>
        <v>360659</v>
      </c>
      <c r="H99" s="3">
        <f t="shared" si="8"/>
        <v>113834</v>
      </c>
      <c r="I99" s="3">
        <f t="shared" si="9"/>
        <v>246825</v>
      </c>
      <c r="J99" s="3">
        <f t="shared" si="6"/>
        <v>33180628</v>
      </c>
    </row>
    <row r="100" spans="1:10" x14ac:dyDescent="0.25">
      <c r="A100" s="5" t="s">
        <v>395</v>
      </c>
      <c r="B100" s="5"/>
      <c r="C100" s="5"/>
      <c r="D100" s="2" t="s">
        <v>396</v>
      </c>
      <c r="E100" s="2" t="s">
        <v>397</v>
      </c>
      <c r="F100" s="2" t="s">
        <v>398</v>
      </c>
      <c r="G100" s="3">
        <f t="shared" si="7"/>
        <v>293806</v>
      </c>
      <c r="H100" s="3">
        <f t="shared" si="8"/>
        <v>88660</v>
      </c>
      <c r="I100" s="3">
        <f t="shared" si="9"/>
        <v>205146</v>
      </c>
      <c r="J100" s="3">
        <f t="shared" si="6"/>
        <v>27323958</v>
      </c>
    </row>
    <row r="101" spans="1:10" x14ac:dyDescent="0.25">
      <c r="A101" s="5" t="s">
        <v>399</v>
      </c>
      <c r="B101" s="5"/>
      <c r="C101" s="5"/>
      <c r="D101" s="2" t="s">
        <v>400</v>
      </c>
      <c r="E101" s="2" t="s">
        <v>401</v>
      </c>
      <c r="F101" s="2" t="s">
        <v>402</v>
      </c>
      <c r="G101" s="3">
        <f t="shared" si="7"/>
        <v>233118</v>
      </c>
      <c r="H101" s="3">
        <f t="shared" si="8"/>
        <v>68135</v>
      </c>
      <c r="I101" s="3">
        <f t="shared" si="9"/>
        <v>164983</v>
      </c>
      <c r="J101" s="3">
        <f t="shared" si="6"/>
        <v>21913092</v>
      </c>
    </row>
    <row r="102" spans="1:10" x14ac:dyDescent="0.25">
      <c r="A102" s="5" t="s">
        <v>403</v>
      </c>
      <c r="B102" s="5"/>
      <c r="C102" s="5"/>
      <c r="D102" s="2" t="s">
        <v>404</v>
      </c>
      <c r="E102" s="2" t="s">
        <v>405</v>
      </c>
      <c r="F102" s="2" t="s">
        <v>406</v>
      </c>
      <c r="G102" s="3">
        <f t="shared" si="7"/>
        <v>174011</v>
      </c>
      <c r="H102" s="3">
        <f t="shared" si="8"/>
        <v>48015</v>
      </c>
      <c r="I102" s="3">
        <f t="shared" si="9"/>
        <v>125996</v>
      </c>
      <c r="J102" s="3">
        <f t="shared" si="6"/>
        <v>16531045</v>
      </c>
    </row>
    <row r="103" spans="1:10" x14ac:dyDescent="0.25">
      <c r="A103" s="5" t="s">
        <v>407</v>
      </c>
      <c r="B103" s="5"/>
      <c r="C103" s="5"/>
      <c r="D103" s="2" t="s">
        <v>408</v>
      </c>
      <c r="E103" s="2" t="s">
        <v>409</v>
      </c>
      <c r="F103" s="2" t="s">
        <v>410</v>
      </c>
      <c r="G103" s="3">
        <f t="shared" si="7"/>
        <v>122887</v>
      </c>
      <c r="H103" s="3">
        <f t="shared" si="8"/>
        <v>32585</v>
      </c>
      <c r="I103" s="3">
        <f t="shared" si="9"/>
        <v>90302</v>
      </c>
      <c r="J103" s="3">
        <f t="shared" si="6"/>
        <v>11797152</v>
      </c>
    </row>
    <row r="104" spans="1:10" x14ac:dyDescent="0.25">
      <c r="A104" s="5" t="s">
        <v>411</v>
      </c>
      <c r="B104" s="5"/>
      <c r="C104" s="5"/>
      <c r="D104" s="2" t="s">
        <v>412</v>
      </c>
      <c r="E104" s="2" t="s">
        <v>413</v>
      </c>
      <c r="F104" s="2" t="s">
        <v>414</v>
      </c>
      <c r="G104" s="3">
        <f t="shared" si="7"/>
        <v>92377</v>
      </c>
      <c r="H104" s="3">
        <f t="shared" si="8"/>
        <v>23092</v>
      </c>
      <c r="I104" s="3">
        <f t="shared" si="9"/>
        <v>69285</v>
      </c>
      <c r="J104" s="3">
        <f t="shared" si="6"/>
        <v>8960569</v>
      </c>
    </row>
    <row r="105" spans="1:10" x14ac:dyDescent="0.25">
      <c r="A105" s="5" t="s">
        <v>415</v>
      </c>
      <c r="B105" s="5"/>
      <c r="C105" s="5"/>
      <c r="D105" s="2" t="s">
        <v>416</v>
      </c>
      <c r="E105" s="2" t="s">
        <v>417</v>
      </c>
      <c r="F105" s="2" t="s">
        <v>418</v>
      </c>
      <c r="G105" s="3">
        <f t="shared" si="7"/>
        <v>61991</v>
      </c>
      <c r="H105" s="3">
        <f t="shared" si="8"/>
        <v>14719</v>
      </c>
      <c r="I105" s="3">
        <f t="shared" si="9"/>
        <v>47272</v>
      </c>
      <c r="J105" s="3">
        <f t="shared" si="6"/>
        <v>6075118</v>
      </c>
    </row>
    <row r="106" spans="1:10" x14ac:dyDescent="0.25">
      <c r="A106" s="5" t="s">
        <v>419</v>
      </c>
      <c r="B106" s="5"/>
      <c r="C106" s="5"/>
      <c r="D106" s="2" t="s">
        <v>420</v>
      </c>
      <c r="E106" s="2" t="s">
        <v>421</v>
      </c>
      <c r="F106" s="2" t="s">
        <v>422</v>
      </c>
      <c r="G106" s="3">
        <f t="shared" si="7"/>
        <v>43641</v>
      </c>
      <c r="H106" s="3">
        <f t="shared" si="8"/>
        <v>9577</v>
      </c>
      <c r="I106" s="3">
        <f t="shared" si="9"/>
        <v>34064</v>
      </c>
      <c r="J106" s="3">
        <f t="shared" si="6"/>
        <v>4320459</v>
      </c>
    </row>
    <row r="107" spans="1:10" x14ac:dyDescent="0.25">
      <c r="A107" s="5">
        <v>100</v>
      </c>
      <c r="B107" s="5"/>
      <c r="C107" s="5"/>
      <c r="D107" s="2" t="s">
        <v>423</v>
      </c>
      <c r="E107" s="2" t="s">
        <v>424</v>
      </c>
      <c r="F107" s="2" t="s">
        <v>425</v>
      </c>
      <c r="G107" s="3">
        <f t="shared" si="7"/>
        <v>76974</v>
      </c>
      <c r="H107" s="3">
        <f t="shared" si="8"/>
        <v>15088</v>
      </c>
      <c r="I107" s="3">
        <f t="shared" si="9"/>
        <v>61886</v>
      </c>
      <c r="J107" s="3">
        <f t="shared" si="6"/>
        <v>7697400</v>
      </c>
    </row>
    <row r="108" spans="1:10" x14ac:dyDescent="0.25">
      <c r="A108" s="5" t="s">
        <v>426</v>
      </c>
      <c r="B108" s="5"/>
      <c r="C108" s="5"/>
      <c r="D108" s="2" t="s">
        <v>426</v>
      </c>
      <c r="E108" s="2" t="s">
        <v>426</v>
      </c>
      <c r="F108" s="2" t="s">
        <v>426</v>
      </c>
      <c r="G108" s="2"/>
      <c r="H108" s="2"/>
    </row>
    <row r="109" spans="1:10" x14ac:dyDescent="0.25">
      <c r="A109" s="5" t="s">
        <v>427</v>
      </c>
      <c r="B109" s="5"/>
      <c r="C109" s="5"/>
      <c r="D109" s="2" t="s">
        <v>428</v>
      </c>
      <c r="E109" s="2" t="s">
        <v>429</v>
      </c>
      <c r="F109" s="2" t="s">
        <v>430</v>
      </c>
      <c r="G109" s="2"/>
      <c r="H109" s="2"/>
    </row>
    <row r="110" spans="1:10" x14ac:dyDescent="0.25">
      <c r="A110" s="2" t="s">
        <v>426</v>
      </c>
      <c r="B110" s="5" t="s">
        <v>442</v>
      </c>
      <c r="C110" s="5"/>
      <c r="D110" s="2"/>
      <c r="E110" s="2"/>
      <c r="F110" s="2"/>
      <c r="G110" s="2"/>
      <c r="H110" s="2"/>
    </row>
    <row r="111" spans="1:10" x14ac:dyDescent="0.25">
      <c r="A111" s="2"/>
      <c r="B111" s="5"/>
      <c r="C111" s="5"/>
      <c r="D111" s="2"/>
      <c r="E111" s="2"/>
      <c r="F111" s="2"/>
      <c r="G111" s="2"/>
      <c r="H111" s="2"/>
    </row>
    <row r="112" spans="1:10" x14ac:dyDescent="0.25">
      <c r="A112" s="2" t="s">
        <v>426</v>
      </c>
      <c r="B112" s="5" t="s">
        <v>443</v>
      </c>
      <c r="C112" s="5"/>
      <c r="D112" s="2"/>
      <c r="E112" s="2"/>
      <c r="F112" s="2"/>
      <c r="G112" s="2"/>
      <c r="H112" s="2"/>
    </row>
    <row r="113" spans="1:8" x14ac:dyDescent="0.25">
      <c r="A113" s="2"/>
      <c r="B113" s="5"/>
      <c r="C113" s="5"/>
      <c r="D113" s="2"/>
      <c r="E113" s="2"/>
      <c r="F113" s="2"/>
      <c r="G113" s="2"/>
      <c r="H113" s="2"/>
    </row>
  </sheetData>
  <mergeCells count="111">
    <mergeCell ref="A1:C1"/>
    <mergeCell ref="A2:C2"/>
    <mergeCell ref="A3:C3"/>
    <mergeCell ref="D3:F3"/>
    <mergeCell ref="A7:C7"/>
    <mergeCell ref="A8:C8"/>
    <mergeCell ref="A9:C9"/>
    <mergeCell ref="D4:F4"/>
    <mergeCell ref="A6:C6"/>
    <mergeCell ref="A13:C13"/>
    <mergeCell ref="A14:C14"/>
    <mergeCell ref="A15:C15"/>
    <mergeCell ref="A10:C10"/>
    <mergeCell ref="A11:C11"/>
    <mergeCell ref="A12:C12"/>
    <mergeCell ref="A19:C19"/>
    <mergeCell ref="A20:C20"/>
    <mergeCell ref="A21:C21"/>
    <mergeCell ref="A16:C16"/>
    <mergeCell ref="A17:C17"/>
    <mergeCell ref="A18:C18"/>
    <mergeCell ref="A25:C25"/>
    <mergeCell ref="A26:C26"/>
    <mergeCell ref="A27:C27"/>
    <mergeCell ref="A22:C22"/>
    <mergeCell ref="A23:C23"/>
    <mergeCell ref="A24:C24"/>
    <mergeCell ref="A31:C31"/>
    <mergeCell ref="A32:C32"/>
    <mergeCell ref="A33:C33"/>
    <mergeCell ref="A28:C28"/>
    <mergeCell ref="A29:C29"/>
    <mergeCell ref="A30:C30"/>
    <mergeCell ref="A37:C37"/>
    <mergeCell ref="A38:C38"/>
    <mergeCell ref="A39:C39"/>
    <mergeCell ref="A34:C34"/>
    <mergeCell ref="A35:C35"/>
    <mergeCell ref="A36:C36"/>
    <mergeCell ref="A43:C43"/>
    <mergeCell ref="A44:C44"/>
    <mergeCell ref="A45:C45"/>
    <mergeCell ref="A40:C40"/>
    <mergeCell ref="A41:C41"/>
    <mergeCell ref="A42:C42"/>
    <mergeCell ref="A49:C49"/>
    <mergeCell ref="A50:C50"/>
    <mergeCell ref="A51:C51"/>
    <mergeCell ref="A46:C46"/>
    <mergeCell ref="A47:C47"/>
    <mergeCell ref="A48:C48"/>
    <mergeCell ref="A55:C55"/>
    <mergeCell ref="A56:C56"/>
    <mergeCell ref="A57:C57"/>
    <mergeCell ref="A52:C52"/>
    <mergeCell ref="A53:C53"/>
    <mergeCell ref="A54:C54"/>
    <mergeCell ref="A61:C61"/>
    <mergeCell ref="A62:C62"/>
    <mergeCell ref="A63:C63"/>
    <mergeCell ref="A58:C58"/>
    <mergeCell ref="A59:C59"/>
    <mergeCell ref="A60:C60"/>
    <mergeCell ref="A67:C67"/>
    <mergeCell ref="A68:C68"/>
    <mergeCell ref="A69:C69"/>
    <mergeCell ref="A64:C64"/>
    <mergeCell ref="A65:C65"/>
    <mergeCell ref="A66:C66"/>
    <mergeCell ref="A73:C73"/>
    <mergeCell ref="A74:C74"/>
    <mergeCell ref="A75:C75"/>
    <mergeCell ref="A70:C70"/>
    <mergeCell ref="A71:C71"/>
    <mergeCell ref="A72:C72"/>
    <mergeCell ref="A79:C79"/>
    <mergeCell ref="A80:C80"/>
    <mergeCell ref="A81:C81"/>
    <mergeCell ref="A76:C76"/>
    <mergeCell ref="A77:C77"/>
    <mergeCell ref="A78:C78"/>
    <mergeCell ref="A85:C85"/>
    <mergeCell ref="A86:C86"/>
    <mergeCell ref="A87:C87"/>
    <mergeCell ref="A82:C82"/>
    <mergeCell ref="A83:C83"/>
    <mergeCell ref="A84:C84"/>
    <mergeCell ref="A91:C91"/>
    <mergeCell ref="A92:C92"/>
    <mergeCell ref="A93:C93"/>
    <mergeCell ref="A88:C88"/>
    <mergeCell ref="A89:C89"/>
    <mergeCell ref="A90:C90"/>
    <mergeCell ref="A94:C94"/>
    <mergeCell ref="A95:C95"/>
    <mergeCell ref="A96:C96"/>
    <mergeCell ref="A103:C103"/>
    <mergeCell ref="A104:C104"/>
    <mergeCell ref="A105:C105"/>
    <mergeCell ref="A100:C100"/>
    <mergeCell ref="A101:C101"/>
    <mergeCell ref="A102:C102"/>
    <mergeCell ref="A109:C109"/>
    <mergeCell ref="B110:C111"/>
    <mergeCell ref="B112:C113"/>
    <mergeCell ref="A106:C106"/>
    <mergeCell ref="A107:C107"/>
    <mergeCell ref="A108:C108"/>
    <mergeCell ref="A97:C97"/>
    <mergeCell ref="A98:C98"/>
    <mergeCell ref="A99:C99"/>
  </mergeCell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5:E13"/>
  <sheetViews>
    <sheetView workbookViewId="0">
      <selection activeCell="C13" sqref="C13"/>
    </sheetView>
  </sheetViews>
  <sheetFormatPr defaultRowHeight="15" x14ac:dyDescent="0.25"/>
  <cols>
    <col min="3" max="3" width="11.140625" bestFit="1" customWidth="1"/>
  </cols>
  <sheetData>
    <row r="5" spans="2:5" x14ac:dyDescent="0.25">
      <c r="B5" t="s">
        <v>450</v>
      </c>
      <c r="C5" s="4">
        <f>Age!N4+Age!O4</f>
        <v>247773709</v>
      </c>
    </row>
    <row r="6" spans="2:5" x14ac:dyDescent="0.25">
      <c r="B6" t="s">
        <v>451</v>
      </c>
      <c r="C6" s="4">
        <v>62850340</v>
      </c>
      <c r="D6">
        <f>C6/$C$5</f>
        <v>0.25366024609172722</v>
      </c>
      <c r="E6" s="1" t="s">
        <v>453</v>
      </c>
    </row>
    <row r="7" spans="2:5" x14ac:dyDescent="0.25">
      <c r="B7" t="s">
        <v>452</v>
      </c>
      <c r="C7" s="4">
        <v>65526371</v>
      </c>
      <c r="D7">
        <f>C7/$C$5</f>
        <v>0.26446054855642492</v>
      </c>
      <c r="E7" s="1" t="s">
        <v>453</v>
      </c>
    </row>
    <row r="8" spans="2:5" x14ac:dyDescent="0.25">
      <c r="B8" t="s">
        <v>454</v>
      </c>
      <c r="C8" s="4">
        <f>C5-C7-C6</f>
        <v>119396998</v>
      </c>
      <c r="D8">
        <f>C8/$C$5</f>
        <v>0.48187920535184786</v>
      </c>
    </row>
    <row r="10" spans="2:5" x14ac:dyDescent="0.25">
      <c r="D10" t="s">
        <v>455</v>
      </c>
    </row>
    <row r="11" spans="2:5" x14ac:dyDescent="0.25">
      <c r="C11" t="s">
        <v>456</v>
      </c>
      <c r="D11">
        <f>D8+2*D7</f>
        <v>1.0108003024646977</v>
      </c>
    </row>
    <row r="12" spans="2:5" x14ac:dyDescent="0.25">
      <c r="C12" t="s">
        <v>458</v>
      </c>
      <c r="D12">
        <f>0.012/D11</f>
        <v>1.1871781172541845E-2</v>
      </c>
    </row>
    <row r="13" spans="2:5" x14ac:dyDescent="0.25">
      <c r="C13" t="s">
        <v>457</v>
      </c>
      <c r="D13">
        <f>D12/(1-D12)</f>
        <v>1.2014413662458956E-2</v>
      </c>
    </row>
  </sheetData>
  <hyperlinks>
    <hyperlink ref="E7" r:id="rId1" location="gid=19"/>
    <hyperlink ref="E6" r:id="rId2" location="gi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Means</vt:lpstr>
      <vt:lpstr>Age</vt:lpstr>
      <vt:lpstr>Vote shares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 Allcott</dc:creator>
  <cp:lastModifiedBy>Hunt Allcott</cp:lastModifiedBy>
  <dcterms:created xsi:type="dcterms:W3CDTF">2016-12-01T16:42:46Z</dcterms:created>
  <dcterms:modified xsi:type="dcterms:W3CDTF">2016-12-12T18:35:07Z</dcterms:modified>
</cp:coreProperties>
</file>